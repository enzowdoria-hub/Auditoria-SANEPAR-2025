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9e49b65b7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P_DRE_2025_2024" sheetId="1" r:id="R57350263b1124fb7"/>
    <x:sheet xmlns:r="http://schemas.openxmlformats.org/officeDocument/2006/relationships" name="Materialidade" sheetId="2" r:id="Rd181c8c1393d4087"/>
    <x:sheet xmlns:r="http://schemas.openxmlformats.org/officeDocument/2006/relationships" name="Matriz_Riscos" sheetId="3" r:id="R434a25b14db24c00"/>
    <x:sheet xmlns:r="http://schemas.openxmlformats.org/officeDocument/2006/relationships" name="Matriz_NBC_TA" sheetId="4" r:id="Rec5b2a71dd614599"/>
    <x:sheet xmlns:r="http://schemas.openxmlformats.org/officeDocument/2006/relationships" name="Analiticos" sheetId="5" r:id="R50b63fad2e5c4c6a"/>
    <x:sheet xmlns:r="http://schemas.openxmlformats.org/officeDocument/2006/relationships" name="Conciliacao_Intangivel" sheetId="6" r:id="Rdab57b5949d44ec4"/>
    <x:sheet xmlns:r="http://schemas.openxmlformats.org/officeDocument/2006/relationships" name="Testes_500mil" sheetId="7" r:id="Ra57ebce4c05d4899"/>
    <x:sheet xmlns:r="http://schemas.openxmlformats.org/officeDocument/2006/relationships" name="Sensibilidade" sheetId="8" r:id="R37fbb60c60af41e7"/>
    <x:sheet xmlns:r="http://schemas.openxmlformats.org/officeDocument/2006/relationships" name="Indicadores" sheetId="9" r:id="Ra51732943f9e4335"/>
    <x:sheet xmlns:r="http://schemas.openxmlformats.org/officeDocument/2006/relationships" name="Fontes" sheetId="10" r:id="R0e17d3ee1e5e43c4"/>
    <x:sheet xmlns:r="http://schemas.openxmlformats.org/officeDocument/2006/relationships" name="LEIA_PRIMEIRO" sheetId="11" r:id="R9558ff5fe2a34f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"/>
    <x:numFmt numFmtId="201" formatCode="0.00%"/>
    <x:numFmt numFmtId="202" formatCode="0.00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E5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8e11b390934ea8" /><Relationship Type="http://schemas.openxmlformats.org/officeDocument/2006/relationships/theme" Target="/xl/theme/theme1.xml" Id="Rbaa6cf03d8da425b" /><Relationship Type="http://schemas.openxmlformats.org/officeDocument/2006/relationships/sharedStrings" Target="/xl/sharedStrings.xml" Id="R2ee76e967e664d5a" /><Relationship Type="http://schemas.openxmlformats.org/officeDocument/2006/relationships/worksheet" Target="/xl/worksheets/sheet1.xml" Id="R57350263b1124fb7" /><Relationship Type="http://schemas.openxmlformats.org/officeDocument/2006/relationships/worksheet" Target="/xl/worksheets/sheet2.xml" Id="Rd181c8c1393d4087" /><Relationship Type="http://schemas.openxmlformats.org/officeDocument/2006/relationships/worksheet" Target="/xl/worksheets/sheet3.xml" Id="R434a25b14db24c00" /><Relationship Type="http://schemas.openxmlformats.org/officeDocument/2006/relationships/worksheet" Target="/xl/worksheets/sheet4.xml" Id="Rec5b2a71dd614599" /><Relationship Type="http://schemas.openxmlformats.org/officeDocument/2006/relationships/worksheet" Target="/xl/worksheets/sheet5.xml" Id="R50b63fad2e5c4c6a" /><Relationship Type="http://schemas.openxmlformats.org/officeDocument/2006/relationships/worksheet" Target="/xl/worksheets/sheet6.xml" Id="Rdab57b5949d44ec4" /><Relationship Type="http://schemas.openxmlformats.org/officeDocument/2006/relationships/worksheet" Target="/xl/worksheets/sheet7.xml" Id="Ra57ebce4c05d4899" /><Relationship Type="http://schemas.openxmlformats.org/officeDocument/2006/relationships/worksheet" Target="/xl/worksheets/sheet8.xml" Id="R37fbb60c60af41e7" /><Relationship Type="http://schemas.openxmlformats.org/officeDocument/2006/relationships/worksheet" Target="/xl/worksheets/sheet9.xml" Id="Ra51732943f9e4335" /><Relationship Type="http://schemas.openxmlformats.org/officeDocument/2006/relationships/worksheet" Target="/xl/worksheets/sheet10.xml" Id="R0e17d3ee1e5e43c4" /><Relationship Type="http://schemas.openxmlformats.org/officeDocument/2006/relationships/worksheet" Target="/xl/worksheets/sheet11.xml" Id="R9558ff5fe2a34f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18" hidden="0" customWidth="1"/>
    <x:col min="3" max="3" width="18" hidden="0" customWidth="1"/>
    <x:col min="4" max="4" width="18" hidden="0" customWidth="1"/>
    <x:col min="5" max="5" width="15" hidden="0" customWidth="1"/>
    <x:col min="6" max="6" width="38" hidden="0" customWidth="1"/>
  </x:cols>
  <x:sheetData>
    <x:row r="1" ht="30" customHeight="1">
      <x:c r="A1" s="5" t="str">
        <x:v>Rubrica (R$ mil)</x:v>
      </x:c>
      <x:c r="B1" s="5" t="str">
        <x:v>2025</x:v>
      </x:c>
      <x:c r="C1" s="5" t="str">
        <x:v>2024</x:v>
      </x:c>
      <x:c r="D1" s="5" t="str">
        <x:v>Var. R$ mil</x:v>
      </x:c>
      <x:c r="E1" s="5" t="str">
        <x:v>AH %</x:v>
      </x:c>
      <x:c r="F1" s="5" t="str">
        <x:v>Fonte</x:v>
      </x:c>
    </x:row>
    <x:row r="2">
      <x:c r="A2" t="str">
        <x:v>Ativo circulante</x:v>
      </x:c>
      <x:c r="B2" s="10" t="n">
        <x:v>7222564</x:v>
      </x:c>
      <x:c r="C2" s="10" t="n">
        <x:v>3296187</x:v>
      </x:c>
      <x:c r="D2" s="10" t="n">
        <x:f>B2-C2</x:f>
        <x:v>3926377</x:v>
      </x:c>
      <x:c r="E2" s="12" t="n">
        <x:f>IF(C2=0,0,D2/C2)</x:f>
        <x:v>1.1911875752194885</x:v>
      </x:c>
      <x:c r="F2" t="str">
        <x:v>BP p.67</x:v>
      </x:c>
    </x:row>
    <x:row r="3">
      <x:c r="A3" t="str">
        <x:v>Caixa e equivalentes</x:v>
      </x:c>
      <x:c r="B3" s="10" t="n">
        <x:v>5608131</x:v>
      </x:c>
      <x:c r="C3" s="10" t="n">
        <x:v>1800757</x:v>
      </x:c>
      <x:c r="D3" s="10" t="n">
        <x:f>B3-C3</x:f>
        <x:v>3807374</x:v>
      </x:c>
      <x:c r="E3" s="12" t="n">
        <x:f>IF(C3=0,0,D3/C3)</x:f>
        <x:v>2.114318589348813</x:v>
      </x:c>
      <x:c r="F3" t="str">
        <x:v>BP p.67 Nota 5</x:v>
      </x:c>
    </x:row>
    <x:row r="4">
      <x:c r="A4" t="str">
        <x:v>Clientes CP</x:v>
      </x:c>
      <x:c r="B4" s="10" t="n">
        <x:v>1175286</x:v>
      </x:c>
      <x:c r="C4" s="10" t="n">
        <x:v>1250811</x:v>
      </x:c>
      <x:c r="D4" s="10" t="n">
        <x:f>B4-C4</x:f>
        <x:v>-75525</x:v>
      </x:c>
      <x:c r="E4" s="12" t="n">
        <x:f>IF(C4=0,0,D4/C4)</x:f>
        <x:v>-0.06038082492079139</x:v>
      </x:c>
      <x:c r="F4" t="str">
        <x:v>BP p.67 Nota 6</x:v>
      </x:c>
    </x:row>
    <x:row r="5">
      <x:c r="A5" t="str">
        <x:v>Estoques</x:v>
      </x:c>
      <x:c r="B5" s="10" t="n">
        <x:v>97003</x:v>
      </x:c>
      <x:c r="C5" s="10" t="n">
        <x:v>73183</x:v>
      </x:c>
      <x:c r="D5" s="10" t="n">
        <x:f>B5-C5</x:f>
        <x:v>23820</x:v>
      </x:c>
      <x:c r="E5" s="12" t="n">
        <x:f>IF(C5=0,0,D5/C5)</x:f>
        <x:v>0.3254854269434158</x:v>
      </x:c>
      <x:c r="F5" t="str">
        <x:v>BP p.67</x:v>
      </x:c>
    </x:row>
    <x:row r="6">
      <x:c r="A6" t="str">
        <x:v>Ativo não circulante</x:v>
      </x:c>
      <x:c r="B6" s="10" t="n">
        <x:v>19243360</x:v>
      </x:c>
      <x:c r="C6" s="10" t="n">
        <x:v>17211813</x:v>
      </x:c>
      <x:c r="D6" s="10" t="n">
        <x:f>B6-C6</x:f>
        <x:v>2031547</x:v>
      </x:c>
      <x:c r="E6" s="12" t="n">
        <x:f>IF(C6=0,0,D6/C6)</x:f>
        <x:v>0.11803213293102824</x:v>
      </x:c>
      <x:c r="F6" t="str">
        <x:v>BP p.67</x:v>
      </x:c>
    </x:row>
    <x:row r="7">
      <x:c r="A7" t="str">
        <x:v>Ativo financeiro contratual</x:v>
      </x:c>
      <x:c r="B7" s="10" t="n">
        <x:v>797305</x:v>
      </x:c>
      <x:c r="C7" s="10" t="n">
        <x:v>850582</x:v>
      </x:c>
      <x:c r="D7" s="10" t="n">
        <x:f>B7-C7</x:f>
        <x:v>-53277</x:v>
      </x:c>
      <x:c r="E7" s="12" t="n">
        <x:f>IF(C7=0,0,D7/C7)</x:f>
        <x:v>-0.06263593633535626</x:v>
      </x:c>
      <x:c r="F7" t="str">
        <x:v>BP p.67 Nota 10</x:v>
      </x:c>
    </x:row>
    <x:row r="8">
      <x:c r="A8" t="str">
        <x:v>Ativo de contrato</x:v>
      </x:c>
      <x:c r="B8" s="10" t="n">
        <x:v>3685796</x:v>
      </x:c>
      <x:c r="C8" s="10" t="n">
        <x:v>2777922</x:v>
      </x:c>
      <x:c r="D8" s="10" t="n">
        <x:f>B8-C8</x:f>
        <x:v>907874</x:v>
      </x:c>
      <x:c r="E8" s="12" t="n">
        <x:f>IF(C8=0,0,D8/C8)</x:f>
        <x:v>0.32681767162648917</x:v>
      </x:c>
      <x:c r="F8" t="str">
        <x:v>BP p.67 Nota 11</x:v>
      </x:c>
    </x:row>
    <x:row r="9">
      <x:c r="A9" t="str">
        <x:v>Imobilizado</x:v>
      </x:c>
      <x:c r="B9" s="10" t="n">
        <x:v>453245</x:v>
      </x:c>
      <x:c r="C9" s="10" t="n">
        <x:v>348623</x:v>
      </x:c>
      <x:c r="D9" s="10" t="n">
        <x:f>B9-C9</x:f>
        <x:v>104622</x:v>
      </x:c>
      <x:c r="E9" s="12" t="n">
        <x:f>IF(C9=0,0,D9/C9)</x:f>
        <x:v>0.3001006818253529</x:v>
      </x:c>
      <x:c r="F9" t="str">
        <x:v>BP p.67 Nota 13a</x:v>
      </x:c>
    </x:row>
    <x:row r="10">
      <x:c r="A10" t="str">
        <x:v>Intangível</x:v>
      </x:c>
      <x:c r="B10" s="10" t="n">
        <x:v>12602327</x:v>
      </x:c>
      <x:c r="C10" s="10" t="n">
        <x:v>11589509</x:v>
      </x:c>
      <x:c r="D10" s="10" t="n">
        <x:f>B10-C10</x:f>
        <x:v>1012818</x:v>
      </x:c>
      <x:c r="E10" s="12" t="n">
        <x:f>IF(C10=0,0,D10/C10)</x:f>
        <x:v>0.08739093260982843</x:v>
      </x:c>
      <x:c r="F10" t="str">
        <x:v>BP p.67 Nota 13b</x:v>
      </x:c>
    </x:row>
    <x:row r="11">
      <x:c r="A11" t="str">
        <x:v>Ativo total</x:v>
      </x:c>
      <x:c r="B11" s="10" t="n">
        <x:v>26465924</x:v>
      </x:c>
      <x:c r="C11" s="10" t="n">
        <x:v>20508000</x:v>
      </x:c>
      <x:c r="D11" s="10" t="n">
        <x:f>B11-C11</x:f>
        <x:v>5957924</x:v>
      </x:c>
      <x:c r="E11" s="12" t="n">
        <x:f>IF(C11=0,0,D11/C11)</x:f>
        <x:v>0.29051706651063</x:v>
      </x:c>
      <x:c r="F11" t="str">
        <x:v>BP p.67</x:v>
      </x:c>
    </x:row>
    <x:row r="12">
      <x:c r="A12" t="str">
        <x:v>Passivo circulante</x:v>
      </x:c>
      <x:c r="B12" s="10" t="n">
        <x:v>6024748</x:v>
      </x:c>
      <x:c r="C12" s="10" t="n">
        <x:v>1850428</x:v>
      </x:c>
      <x:c r="D12" s="10" t="n">
        <x:f>B12-C12</x:f>
        <x:v>4174320</x:v>
      </x:c>
      <x:c r="E12" s="12" t="n">
        <x:f>IF(C12=0,0,D12/C12)</x:f>
        <x:v>2.255867291242891</x:v>
      </x:c>
      <x:c r="F12" t="str">
        <x:v>BP p.68</x:v>
      </x:c>
    </x:row>
    <x:row r="13">
      <x:c r="A13" t="str">
        <x:v>Dívida CP</x:v>
      </x:c>
      <x:c r="B13" s="10" t="n">
        <x:v>997329</x:v>
      </x:c>
      <x:c r="C13" s="10" t="n">
        <x:v>584638</x:v>
      </x:c>
      <x:c r="D13" s="10" t="n">
        <x:f>B13-C13</x:f>
        <x:v>412691</x:v>
      </x:c>
      <x:c r="E13" s="12" t="n">
        <x:f>IF(C13=0,0,D13/C13)</x:f>
        <x:v>0.7058915089337333</x:v>
      </x:c>
      <x:c r="F13" t="str">
        <x:v>BP p.68 Nota 14</x:v>
      </x:c>
    </x:row>
    <x:row r="14">
      <x:c r="A14" t="str">
        <x:v>Passivo regulatório CP</x:v>
      </x:c>
      <x:c r="B14" s="10" t="n">
        <x:v>3305438</x:v>
      </x:c>
      <x:c r="C14" s="10" t="n">
        <x:v>0</x:v>
      </x:c>
      <x:c r="D14" s="10" t="n">
        <x:f>B14-C14</x:f>
        <x:v>3305438</x:v>
      </x:c>
      <x:c r="E14" s="12" t="n">
        <x:f>IF(C14=0,0,D14/C14)</x:f>
        <x:v>0</x:v>
      </x:c>
      <x:c r="F14" t="str">
        <x:v>BP p.68 Nota 21</x:v>
      </x:c>
    </x:row>
    <x:row r="15">
      <x:c r="A15" t="str">
        <x:v>Passivo não circulante</x:v>
      </x:c>
      <x:c r="B15" s="10" t="n">
        <x:v>8093395</x:v>
      </x:c>
      <x:c r="C15" s="10" t="n">
        <x:v>7828865</x:v>
      </x:c>
      <x:c r="D15" s="10" t="n">
        <x:f>B15-C15</x:f>
        <x:v>264530</x:v>
      </x:c>
      <x:c r="E15" s="12" t="n">
        <x:f>IF(C15=0,0,D15/C15)</x:f>
        <x:v>0.03378906137735163</x:v>
      </x:c>
      <x:c r="F15" t="str">
        <x:v>BP p.68</x:v>
      </x:c>
    </x:row>
    <x:row r="16">
      <x:c r="A16" t="str">
        <x:v>Dívida LP</x:v>
      </x:c>
      <x:c r="B16" s="10" t="n">
        <x:v>6395335</x:v>
      </x:c>
      <x:c r="C16" s="10" t="n">
        <x:v>6046697</x:v>
      </x:c>
      <x:c r="D16" s="10" t="n">
        <x:f>B16-C16</x:f>
        <x:v>348638</x:v>
      </x:c>
      <x:c r="E16" s="12" t="n">
        <x:f>IF(C16=0,0,D16/C16)</x:f>
        <x:v>0.057657593889688864</x:v>
      </x:c>
      <x:c r="F16" t="str">
        <x:v>BP p.68 Nota 14</x:v>
      </x:c>
    </x:row>
    <x:row r="17">
      <x:c r="A17" t="str">
        <x:v>Passivo total</x:v>
      </x:c>
      <x:c r="B17" s="10" t="n">
        <x:v>14118143</x:v>
      </x:c>
      <x:c r="C17" s="10" t="n">
        <x:v>9679293</x:v>
      </x:c>
      <x:c r="D17" s="10" t="n">
        <x:f>B17-C17</x:f>
        <x:v>4438850</x:v>
      </x:c>
      <x:c r="E17" s="12" t="n">
        <x:f>IF(C17=0,0,D17/C17)</x:f>
        <x:v>0.45859237859624663</x:v>
      </x:c>
      <x:c r="F17" t="str">
        <x:v>BP p.68</x:v>
      </x:c>
    </x:row>
    <x:row r="18">
      <x:c r="A18" t="str">
        <x:v>Patrimônio líquido</x:v>
      </x:c>
      <x:c r="B18" s="10" t="n">
        <x:v>12347781</x:v>
      </x:c>
      <x:c r="C18" s="10" t="n">
        <x:v>10828707</x:v>
      </x:c>
      <x:c r="D18" s="10" t="n">
        <x:f>B18-C18</x:f>
        <x:v>1519074</x:v>
      </x:c>
      <x:c r="E18" s="12" t="n">
        <x:f>IF(C18=0,0,D18/C18)</x:f>
        <x:v>0.14028212232540782</x:v>
      </x:c>
      <x:c r="F18" t="str">
        <x:v>BP p.68</x:v>
      </x:c>
    </x:row>
    <x:row r="19">
      <x:c r="A19" t="str">
        <x:v>Receita líquida</x:v>
      </x:c>
      <x:c r="B19" s="10" t="n">
        <x:v>7205727</x:v>
      </x:c>
      <x:c r="C19" s="10" t="n">
        <x:v>6848219</x:v>
      </x:c>
      <x:c r="D19" s="10" t="n">
        <x:f>B19-C19</x:f>
        <x:v>357508</x:v>
      </x:c>
      <x:c r="E19" s="12" t="n">
        <x:f>IF(C19=0,0,D19/C19)</x:f>
        <x:v>0.05220452208085051</x:v>
      </x:c>
      <x:c r="F19" t="str">
        <x:v>DRE p.69</x:v>
      </x:c>
    </x:row>
    <x:row r="20">
      <x:c r="A20" t="str">
        <x:v>Custo serviços</x:v>
      </x:c>
      <x:c r="B20" s="10" t="n">
        <x:v>3150783</x:v>
      </x:c>
      <x:c r="C20" s="10" t="n">
        <x:v>2890386</x:v>
      </x:c>
      <x:c r="D20" s="10" t="n">
        <x:f>B20-C20</x:f>
        <x:v>260397</x:v>
      </x:c>
      <x:c r="E20" s="12" t="n">
        <x:f>IF(C20=0,0,D20/C20)</x:f>
        <x:v>0.09009073528587531</x:v>
      </x:c>
      <x:c r="F20" t="str">
        <x:v>DRE p.69 (despesa em valor absoluto)</x:v>
      </x:c>
    </x:row>
    <x:row r="21">
      <x:c r="A21" t="str">
        <x:v>Lucro bruto</x:v>
      </x:c>
      <x:c r="B21" s="10" t="n">
        <x:v>4054944</x:v>
      </x:c>
      <x:c r="C21" s="10" t="n">
        <x:v>3957833</x:v>
      </x:c>
      <x:c r="D21" s="10" t="n">
        <x:f>B21-C21</x:f>
        <x:v>97111</x:v>
      </x:c>
      <x:c r="E21" s="12" t="n">
        <x:f>IF(C21=0,0,D21/C21)</x:f>
        <x:v>0.024536406664960347</x:v>
      </x:c>
      <x:c r="F21" t="str">
        <x:v>DRE p.69</x:v>
      </x:c>
    </x:row>
    <x:row r="22">
      <x:c r="A22" t="str">
        <x:v>Lucro líquido</x:v>
      </x:c>
      <x:c r="B22" s="10" t="n">
        <x:v>2079568</x:v>
      </x:c>
      <x:c r="C22" s="10" t="n">
        <x:v>1545347</x:v>
      </x:c>
      <x:c r="D22" s="10" t="n">
        <x:f>B22-C22</x:f>
        <x:v>534221</x:v>
      </x:c>
      <x:c r="E22" s="12" t="n">
        <x:f>IF(C22=0,0,D22/C22)</x:f>
        <x:v>0.3456964681718734</x:v>
      </x:c>
      <x:c r="F22" t="str">
        <x:v>DRE p.69</x:v>
      </x:c>
    </x:row>
    <x:row r="23">
      <x:c r="A23" t="str">
        <x:v>Despesa passivo regulatório</x:v>
      </x:c>
      <x:c r="B23" s="10" t="n">
        <x:v>1541818</x:v>
      </x:c>
      <x:c r="C23" s="10" t="n">
        <x:v>0</x:v>
      </x:c>
      <x:c r="D23" s="10" t="n">
        <x:f>B23-C23</x:f>
        <x:v>1541818</x:v>
      </x:c>
      <x:c r="E23" s="12" t="n">
        <x:f>IF(C23=0,0,D23/C23)</x:f>
        <x:v>0</x:v>
      </x:c>
      <x:c r="F23" t="str">
        <x:v>DRE p.69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22" hidden="0" customWidth="1"/>
    <x:col min="3" max="3" width="24" hidden="0" customWidth="1"/>
    <x:col min="4" max="4" width="62" hidden="0" customWidth="1"/>
  </x:cols>
  <x:sheetData>
    <x:row r="1" ht="30" customHeight="1">
      <x:c r="A1" s="5" t="str">
        <x:v>Materialidade: premissas</x:v>
      </x:c>
      <x:c r="B1" s="5" t="str">
        <x:v>Valor</x:v>
      </x:c>
      <x:c r="C1" s="5" t="str">
        <x:v>Unidade / fonte</x:v>
      </x:c>
      <x:c r="D1" s="5" t="str">
        <x:v>Justificativa</x:v>
      </x:c>
    </x:row>
    <x:row r="2">
      <x:c r="A2" t="str">
        <x:v>Ativo total</x:v>
      </x:c>
      <x:c r="B2" t="n">
        <x:v>26465924</x:v>
      </x:c>
      <x:c r="C2" t="str">
        <x:v>R$ mil</x:v>
      </x:c>
      <x:c r="D2" t="str">
        <x:v>BP p.67</x:v>
      </x:c>
    </x:row>
    <x:row r="3">
      <x:c r="A3" t="str">
        <x:v>Taxa global</x:v>
      </x:c>
      <x:c r="B3" s="12" t="n">
        <x:v>0.01</x:v>
      </x:c>
      <x:c r="C3" t="str">
        <x:v>decimal</x:v>
      </x:c>
      <x:c r="D3" t="str">
        <x:v>Julgamento didático (não taxa normativa)</x:v>
      </x:c>
    </x:row>
    <x:row r="4">
      <x:c r="A4" t="str">
        <x:v>Materialidade global</x:v>
      </x:c>
      <x:c r="B4" t="n">
        <x:f>B2*B3</x:f>
        <x:v>264659.24</x:v>
      </x:c>
      <x:c r="C4" t="str">
        <x:v>R$ mil</x:v>
      </x:c>
      <x:c r="D4" t="str">
        <x:v>1% do ativo</x:v>
      </x:c>
    </x:row>
    <x:row r="5">
      <x:c r="A5" t="str">
        <x:v>Fator execução</x:v>
      </x:c>
      <x:c r="B5" s="12" t="n">
        <x:v>0.65</x:v>
      </x:c>
      <x:c r="C5" t="str">
        <x:v>decimal</x:v>
      </x:c>
      <x:c r="D5" t="str">
        <x:v>65% da global, julgamento didático</x:v>
      </x:c>
    </x:row>
    <x:row r="6">
      <x:c r="A6" t="str">
        <x:v>Materialidade execução</x:v>
      </x:c>
      <x:c r="B6" t="n">
        <x:f>B4*B5</x:f>
        <x:v>172028.506</x:v>
      </x:c>
      <x:c r="C6" t="str">
        <x:v>R$ mil</x:v>
      </x:c>
      <x:c r="D6" t="str">
        <x:v>65% da global</x:v>
      </x:c>
    </x:row>
    <x:row r="7">
      <x:c r="A7" t="str">
        <x:v>Fator registro</x:v>
      </x:c>
      <x:c r="B7" s="12" t="n">
        <x:v>0.05</x:v>
      </x:c>
      <x:c r="C7" t="str">
        <x:v>decimal</x:v>
      </x:c>
      <x:c r="D7" t="str">
        <x:v>5% da global, convenção do exercício</x:v>
      </x:c>
    </x:row>
    <x:row r="8">
      <x:c r="A8" t="str">
        <x:v>Diferenças claramente triviais</x:v>
      </x:c>
      <x:c r="B8" t="n">
        <x:f>B4*B7</x:f>
        <x:v>13232.962</x:v>
      </x:c>
      <x:c r="C8" t="str">
        <x:v>R$ mil</x:v>
      </x:c>
      <x:c r="D8" t="str">
        <x:v>5% da global</x:v>
      </x:c>
    </x:row>
    <x:row r="9">
      <x:c r="A9" t="str">
        <x:v>Lucro líquido</x:v>
      </x:c>
      <x:c r="B9" t="n">
        <x:v>2079568</x:v>
      </x:c>
      <x:c r="C9" t="str">
        <x:v>R$ mil</x:v>
      </x:c>
      <x:c r="D9" t="str">
        <x:v>DRE p.69 - base de comparação</x:v>
      </x:c>
    </x:row>
    <x:row r="10">
      <x:c r="A10" t="str">
        <x:v>Materialidade / lucro</x:v>
      </x:c>
      <x:c r="B10" s="12" t="n">
        <x:f>B4/B9</x:f>
        <x:v>0.12726645149377178</x:v>
      </x:c>
      <x:c r="C10" t="str">
        <x:v>decimal</x:v>
      </x:c>
      <x:c r="D10" t="str">
        <x:v>Reavaliar qualitativamente</x:v>
      </x:c>
    </x:row>
    <x:row r="11">
      <x:c r="A11" t="str">
        <x:v>Nota de julgamento</x:v>
      </x:c>
      <x:c r="B11" t="str">
        <x:v>O limite não é prescrito pela NBC TA 320. Revisar com resultados, usuários e fatores qualitativos.</x:v>
      </x:c>
      <x:c r="C11" t="str"/>
      <x:c r="D1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6" hidden="0" customWidth="1"/>
    <x:col min="3" max="3" width="24" hidden="0" customWidth="1"/>
    <x:col min="4" max="4" width="56" hidden="0" customWidth="1"/>
    <x:col min="5" max="5" width="13" hidden="0" customWidth="1"/>
    <x:col min="6" max="6" width="13" hidden="0" customWidth="1"/>
    <x:col min="7" max="7" width="17" hidden="0" customWidth="1"/>
    <x:col min="8" max="8" width="23" hidden="0" customWidth="1"/>
    <x:col min="9" max="9" width="35" hidden="0" customWidth="1"/>
    <x:col min="10" max="10" width="24" hidden="0" customWidth="1"/>
  </x:cols>
  <x:sheetData>
    <x:row r="1" ht="30" customHeight="1">
      <x:c r="A1" s="5" t="str">
        <x:v>ID</x:v>
      </x:c>
      <x:c r="B1" s="5" t="str">
        <x:v>Ciclo / rubrica</x:v>
      </x:c>
      <x:c r="C1" s="5" t="str">
        <x:v>Afirmações</x:v>
      </x:c>
      <x:c r="D1" s="5" t="str">
        <x:v>Hipótese de risco</x:v>
      </x:c>
      <x:c r="E1" s="5" t="str">
        <x:v>Prob.</x:v>
      </x:c>
      <x:c r="F1" s="5" t="str">
        <x:v>Impacto</x:v>
      </x:c>
      <x:c r="G1" s="5" t="str">
        <x:v>Inerente</x:v>
      </x:c>
      <x:c r="H1" s="5" t="str">
        <x:v>Teste associado</x:v>
      </x:c>
      <x:c r="I1" s="5" t="str">
        <x:v>Evidência disponível</x:v>
      </x:c>
      <x:c r="J1" s="5" t="str">
        <x:v>Situação</x:v>
      </x:c>
    </x:row>
    <x:row r="2">
      <x:c r="A2" t="str">
        <x:v>R01</x:v>
      </x:c>
      <x:c r="B2" t="str">
        <x:v>Intangível</x:v>
      </x:c>
      <x:c r="C2" t="str">
        <x:v>Exatidão / classificação</x:v>
      </x:c>
      <x:c r="D2" t="str">
        <x:v>Capitalização incorreta de despesas de manutenção</x:v>
      </x:c>
      <x:c r="E2" t="str">
        <x:v>Alta</x:v>
      </x:c>
      <x:c r="F2" t="str">
        <x:v>Alta</x:v>
      </x:c>
      <x:c r="G2" t="str">
        <x:v>Significativo</x:v>
      </x:c>
      <x:c r="H2" t="str">
        <x:v>P04; PT 530</x:v>
      </x:c>
      <x:c r="I2" t="str">
        <x:v>Nota 13b/DFP; testes simulados</x:v>
      </x:c>
      <x:c r="J2" t="str">
        <x:v>EP+SIM; detalhes PL</x:v>
      </x:c>
    </x:row>
    <x:row r="3">
      <x:c r="A3" t="str">
        <x:v>R02</x:v>
      </x:c>
      <x:c r="B3" t="str">
        <x:v>Ativo de contrato</x:v>
      </x:c>
      <x:c r="C3" t="str">
        <x:v>Existência / corte</x:v>
      </x:c>
      <x:c r="D3" t="str">
        <x:v>Transferências de obra e início de amortização</x:v>
      </x:c>
      <x:c r="E3" t="str">
        <x:v>Alta</x:v>
      </x:c>
      <x:c r="F3" t="str">
        <x:v>Alta</x:v>
      </x:c>
      <x:c r="G3" t="str">
        <x:v>Significativo</x:v>
      </x:c>
      <x:c r="H3" t="str">
        <x:v>P04</x:v>
      </x:c>
      <x:c r="I3" t="str">
        <x:v>Nota 11; relatório do auditor</x:v>
      </x:c>
      <x:c r="J3" t="str">
        <x:v>EP; detalhes PL</x:v>
      </x:c>
    </x:row>
    <x:row r="4">
      <x:c r="A4" t="str">
        <x:v>R03</x:v>
      </x:c>
      <x:c r="B4" t="str">
        <x:v>Receita não faturada</x:v>
      </x:c>
      <x:c r="C4" t="str">
        <x:v>Ocorrência / corte</x:v>
      </x:c>
      <x:c r="D4" t="str">
        <x:v>Consumo estimado e faturado fora do período</x:v>
      </x:c>
      <x:c r="E4" t="str">
        <x:v>Alta</x:v>
      </x:c>
      <x:c r="F4" t="str">
        <x:v>Alta</x:v>
      </x:c>
      <x:c r="G4" t="str">
        <x:v>Significativo</x:v>
      </x:c>
      <x:c r="H4" t="str">
        <x:v>P01</x:v>
      </x:c>
      <x:c r="I4" t="str">
        <x:v>Nota 24; PAA do auditor</x:v>
      </x:c>
      <x:c r="J4" t="str">
        <x:v>EP; detalhes PL</x:v>
      </x:c>
    </x:row>
    <x:row r="5">
      <x:c r="A5" t="str">
        <x:v>R04</x:v>
      </x:c>
      <x:c r="B5" t="str">
        <x:v>Recebíveis / PECLD</x:v>
      </x:c>
      <x:c r="C5" t="str">
        <x:v>Avaliação</x:v>
      </x:c>
      <x:c r="D5" t="str">
        <x:v>Perdas esperadas subestimadas</x:v>
      </x:c>
      <x:c r="E5" t="str">
        <x:v>Média</x:v>
      </x:c>
      <x:c r="F5" t="str">
        <x:v>Alta</x:v>
      </x:c>
      <x:c r="G5" t="str">
        <x:v>Alto</x:v>
      </x:c>
      <x:c r="H5" t="str">
        <x:v>P01; P06</x:v>
      </x:c>
      <x:c r="I5" t="str">
        <x:v>Nota 6</x:v>
      </x:c>
      <x:c r="J5" t="str">
        <x:v>EP; detalhes PL</x:v>
      </x:c>
    </x:row>
    <x:row r="6">
      <x:c r="A6" t="str">
        <x:v>R05</x:v>
      </x:c>
      <x:c r="B6" t="str">
        <x:v>Passivo regulatório</x:v>
      </x:c>
      <x:c r="C6" t="str">
        <x:v>Avaliação / apresentação</x:v>
      </x:c>
      <x:c r="D6" t="str">
        <x:v>Estimativa dependente de regulação e decisão jurídica</x:v>
      </x:c>
      <x:c r="E6" t="str">
        <x:v>Alta</x:v>
      </x:c>
      <x:c r="F6" t="str">
        <x:v>Alta</x:v>
      </x:c>
      <x:c r="G6" t="str">
        <x:v>Significativo</x:v>
      </x:c>
      <x:c r="H6" t="str">
        <x:v>P05; P06</x:v>
      </x:c>
      <x:c r="I6" t="str">
        <x:v>Nota 21 e ênfase</x:v>
      </x:c>
      <x:c r="J6" t="str">
        <x:v>EP; premissas PL</x:v>
      </x:c>
    </x:row>
    <x:row r="7">
      <x:c r="A7" t="str">
        <x:v>R06</x:v>
      </x:c>
      <x:c r="B7" t="str">
        <x:v>Caixa e aplicações</x:v>
      </x:c>
      <x:c r="C7" t="str">
        <x:v>Existência / restrições</x:v>
      </x:c>
      <x:c r="D7" t="str">
        <x:v>Classificação e restrição de recursos</x:v>
      </x:c>
      <x:c r="E7" t="str">
        <x:v>Média</x:v>
      </x:c>
      <x:c r="F7" t="str">
        <x:v>Alta</x:v>
      </x:c>
      <x:c r="G7" t="str">
        <x:v>Alto</x:v>
      </x:c>
      <x:c r="H7" t="str">
        <x:v>P02</x:v>
      </x:c>
      <x:c r="I7" t="str">
        <x:v>Nota 5</x:v>
      </x:c>
      <x:c r="J7" t="str">
        <x:v>EP; confirmações PL</x:v>
      </x:c>
    </x:row>
    <x:row r="8">
      <x:c r="A8" t="str">
        <x:v>R07</x:v>
      </x:c>
      <x:c r="B8" t="str">
        <x:v>Estoques</x:v>
      </x:c>
      <x:c r="C8" t="str">
        <x:v>Existência / mensuração</x:v>
      </x:c>
      <x:c r="D8" t="str">
        <x:v>Obsolescência e corte</x:v>
      </x:c>
      <x:c r="E8" t="str">
        <x:v>Média</x:v>
      </x:c>
      <x:c r="F8" t="str">
        <x:v>Média</x:v>
      </x:c>
      <x:c r="G8" t="str">
        <x:v>Moderado</x:v>
      </x:c>
      <x:c r="H8" t="str">
        <x:v>P03</x:v>
      </x:c>
      <x:c r="I8" t="str">
        <x:v>BP p.67</x:v>
      </x:c>
      <x:c r="J8" t="str">
        <x:v>EP; inventário PL</x:v>
      </x:c>
    </x:row>
    <x:row r="9">
      <x:c r="A9" t="str">
        <x:v>R08</x:v>
      </x:c>
      <x:c r="B9" t="str">
        <x:v>Financiamentos</x:v>
      </x:c>
      <x:c r="C9" t="str">
        <x:v>Completude / classificação</x:v>
      </x:c>
      <x:c r="D9" t="str">
        <x:v>Covenants, prazos e juros</x:v>
      </x:c>
      <x:c r="E9" t="str">
        <x:v>Média</x:v>
      </x:c>
      <x:c r="F9" t="str">
        <x:v>Alta</x:v>
      </x:c>
      <x:c r="G9" t="str">
        <x:v>Alto</x:v>
      </x:c>
      <x:c r="H9" t="str">
        <x:v>P05; P06</x:v>
      </x:c>
      <x:c r="I9" t="str">
        <x:v>Nota 14</x:v>
      </x:c>
      <x:c r="J9" t="str">
        <x:v>EP; contratos PL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7" hidden="0" customWidth="1"/>
    <x:col min="3" max="3" width="45" hidden="0" customWidth="1"/>
    <x:col min="4" max="4" width="28" hidden="0" customWidth="1"/>
    <x:col min="5" max="5" width="54" hidden="0" customWidth="1"/>
    <x:col min="6" max="6" width="30" hidden="0" customWidth="1"/>
    <x:col min="7" max="7" width="58" hidden="0" customWidth="1"/>
  </x:cols>
  <x:sheetData>
    <x:row r="1" ht="30" customHeight="1">
      <x:c r="A1" s="5" t="str">
        <x:v>PT</x:v>
      </x:c>
      <x:c r="B1" s="5" t="str">
        <x:v>Norma / tema</x:v>
      </x:c>
      <x:c r="C1" s="5" t="str">
        <x:v>Arquivo no repositório</x:v>
      </x:c>
      <x:c r="D1" s="5" t="str">
        <x:v>EP / PL / SIM</x:v>
      </x:c>
      <x:c r="E1" s="5" t="str">
        <x:v>Evidência / base</x:v>
      </x:c>
      <x:c r="F1" s="5" t="str">
        <x:v>Estado de revisão</x:v>
      </x:c>
      <x:c r="G1" s="5" t="str">
        <x:v>Fonte norma</x:v>
      </x:c>
    </x:row>
    <x:row r="2">
      <x:c r="A2" t="str">
        <x:v>PT EC</x:v>
      </x:c>
      <x:c r="B2" t="str">
        <x:v>Estrutura Conceitual</x:v>
      </x:c>
      <x:c r="C2" t="str">
        <x:v>05_Papeis_Editaveis/PT_EC.md</x:v>
      </x:c>
      <x:c r="D2" t="str">
        <x:v>EP + PL</x:v>
      </x:c>
      <x:c r="E2" t="str">
        <x:v>DFP 2025, notas e/ou relatório do auditor</x:v>
      </x:c>
      <x:c r="F2" t="str">
        <x:v>Revisão externa não realizada</x:v>
      </x:c>
      <x:c r="G2" t="str">
        <x:v>https://cfc.org.br/tecnica/normas-brasileiras-de-contabilidade/nbc-ta-de-auditoria-independente/</x:v>
      </x:c>
    </x:row>
    <x:row r="3">
      <x:c r="A3" t="str">
        <x:v>PT 200</x:v>
      </x:c>
      <x:c r="B3" t="str">
        <x:v>Objetivos gerais</x:v>
      </x:c>
      <x:c r="C3" t="str">
        <x:v>05_Papeis_Editaveis/PT_200.md</x:v>
      </x:c>
      <x:c r="D3" t="str">
        <x:v>EP + PL</x:v>
      </x:c>
      <x:c r="E3" t="str">
        <x:v>DFP 2025, notas e/ou relatório do auditor</x:v>
      </x:c>
      <x:c r="F3" t="str">
        <x:v>Revisão externa não realizada</x:v>
      </x:c>
      <x:c r="G3" t="str">
        <x:v>https://cfc.org.br/tecnica/normas-brasileiras-de-contabilidade/nbc-ta-de-auditoria-independente/</x:v>
      </x:c>
    </x:row>
    <x:row r="4">
      <x:c r="A4" t="str">
        <x:v>PT 210</x:v>
      </x:c>
      <x:c r="B4" t="str">
        <x:v>Termos de auditoria</x:v>
      </x:c>
      <x:c r="C4" t="str">
        <x:v>05_Papeis_Editaveis/PT_210.md</x:v>
      </x:c>
      <x:c r="D4" t="str">
        <x:v>PL + SIM (modelo)</x:v>
      </x:c>
      <x:c r="E4" t="str">
        <x:v>Modelo M01-M05, não enviado</x:v>
      </x:c>
      <x:c r="F4" t="str">
        <x:v>Revisão externa não realizada</x:v>
      </x:c>
      <x:c r="G4" t="str">
        <x:v>https://cfc.org.br/tecnica/normas-brasileiras-de-contabilidade/nbc-ta-de-auditoria-independente/</x:v>
      </x:c>
    </x:row>
    <x:row r="5">
      <x:c r="A5" t="str">
        <x:v>PT 220</x:v>
      </x:c>
      <x:c r="B5" t="str">
        <x:v>Gestão qualidade</x:v>
      </x:c>
      <x:c r="C5" t="str">
        <x:v>05_Papeis_Editaveis/PT_220.md</x:v>
      </x:c>
      <x:c r="D5" t="str">
        <x:v>EP + PL</x:v>
      </x:c>
      <x:c r="E5" t="str">
        <x:v>DFP 2025, notas e/ou relatório do auditor</x:v>
      </x:c>
      <x:c r="F5" t="str">
        <x:v>Revisão externa não realizada</x:v>
      </x:c>
      <x:c r="G5" t="str">
        <x:v>https://cfc.org.br/tecnica/normas-brasileiras-de-contabilidade/nbc-ta-de-auditoria-independente/</x:v>
      </x:c>
    </x:row>
    <x:row r="6">
      <x:c r="A6" t="str">
        <x:v>PT 230</x:v>
      </x:c>
      <x:c r="B6" t="str">
        <x:v>Documentação</x:v>
      </x:c>
      <x:c r="C6" t="str">
        <x:v>05_Papeis_Editaveis/PT_230.md</x:v>
      </x:c>
      <x:c r="D6" t="str">
        <x:v>EP + PL</x:v>
      </x:c>
      <x:c r="E6" t="str">
        <x:v>DFP 2025, notas e/ou relatório do auditor</x:v>
      </x:c>
      <x:c r="F6" t="str">
        <x:v>Revisão externa não realizada</x:v>
      </x:c>
      <x:c r="G6" t="str">
        <x:v>https://cfc.org.br/tecnica/normas-brasileiras-de-contabilidade/nbc-ta-de-auditoria-independente/</x:v>
      </x:c>
    </x:row>
    <x:row r="7">
      <x:c r="A7" t="str">
        <x:v>PT 240</x:v>
      </x:c>
      <x:c r="B7" t="str">
        <x:v>Fraude</x:v>
      </x:c>
      <x:c r="C7" t="str">
        <x:v>05_Papeis_Editaveis/PT_240.md</x:v>
      </x:c>
      <x:c r="D7" t="str">
        <x:v>EP + PL</x:v>
      </x:c>
      <x:c r="E7" t="str">
        <x:v>DFP 2025, notas e/ou relatório do auditor</x:v>
      </x:c>
      <x:c r="F7" t="str">
        <x:v>Revisão externa não realizada</x:v>
      </x:c>
      <x:c r="G7" t="str">
        <x:v>https://cfc.org.br/tecnica/normas-brasileiras-de-contabilidade/nbc-ta-de-auditoria-independente/</x:v>
      </x:c>
    </x:row>
    <x:row r="8">
      <x:c r="A8" t="str">
        <x:v>PT 250</x:v>
      </x:c>
      <x:c r="B8" t="str">
        <x:v>Leis e regulamentos</x:v>
      </x:c>
      <x:c r="C8" t="str">
        <x:v>05_Papeis_Editaveis/PT_250.md</x:v>
      </x:c>
      <x:c r="D8" t="str">
        <x:v>EP + PL</x:v>
      </x:c>
      <x:c r="E8" t="str">
        <x:v>DFP 2025, notas e/ou relatório do auditor</x:v>
      </x:c>
      <x:c r="F8" t="str">
        <x:v>Revisão externa não realizada</x:v>
      </x:c>
      <x:c r="G8" t="str">
        <x:v>https://cfc.org.br/tecnica/normas-brasileiras-de-contabilidade/nbc-ta-de-auditoria-independente/</x:v>
      </x:c>
    </x:row>
    <x:row r="9">
      <x:c r="A9" t="str">
        <x:v>PT 260</x:v>
      </x:c>
      <x:c r="B9" t="str">
        <x:v>Governança</x:v>
      </x:c>
      <x:c r="C9" t="str">
        <x:v>05_Papeis_Editaveis/PT_260.md</x:v>
      </x:c>
      <x:c r="D9" t="str">
        <x:v>PL + SIM (modelo)</x:v>
      </x:c>
      <x:c r="E9" t="str">
        <x:v>Modelo M01-M05, não enviado</x:v>
      </x:c>
      <x:c r="F9" t="str">
        <x:v>Revisão externa não realizada</x:v>
      </x:c>
      <x:c r="G9" t="str">
        <x:v>https://cfc.org.br/tecnica/normas-brasileiras-de-contabilidade/nbc-ta-de-auditoria-independente/</x:v>
      </x:c>
    </x:row>
    <x:row r="10">
      <x:c r="A10" t="str">
        <x:v>PT 265</x:v>
      </x:c>
      <x:c r="B10" t="str">
        <x:v>Deficiências controles</x:v>
      </x:c>
      <x:c r="C10" t="str">
        <x:v>05_Papeis_Editaveis/PT_265.md</x:v>
      </x:c>
      <x:c r="D10" t="str">
        <x:v>PL + SIM (modelo)</x:v>
      </x:c>
      <x:c r="E10" t="str">
        <x:v>Modelo M01-M05, não enviado</x:v>
      </x:c>
      <x:c r="F10" t="str">
        <x:v>Revisão externa não realizada</x:v>
      </x:c>
      <x:c r="G10" t="str">
        <x:v>https://cfc.org.br/tecnica/normas-brasileiras-de-contabilidade/nbc-ta-de-auditoria-independente/</x:v>
      </x:c>
    </x:row>
    <x:row r="11">
      <x:c r="A11" t="str">
        <x:v>PT 300</x:v>
      </x:c>
      <x:c r="B11" t="str">
        <x:v>Planejamento</x:v>
      </x:c>
      <x:c r="C11" t="str">
        <x:v>05_Papeis_Editaveis/PT_300.md</x:v>
      </x:c>
      <x:c r="D11" t="str">
        <x:v>EP + PL</x:v>
      </x:c>
      <x:c r="E11" t="str">
        <x:v>DFP 2025, notas e/ou relatório do auditor</x:v>
      </x:c>
      <x:c r="F11" t="str">
        <x:v>Revisão externa não realizada</x:v>
      </x:c>
      <x:c r="G11" t="str">
        <x:v>https://cfc.org.br/tecnica/normas-brasileiras-de-contabilidade/nbc-ta-de-auditoria-independente/</x:v>
      </x:c>
    </x:row>
    <x:row r="12">
      <x:c r="A12" t="str">
        <x:v>PT 315</x:v>
      </x:c>
      <x:c r="B12" t="str">
        <x:v>Identificação riscos</x:v>
      </x:c>
      <x:c r="C12" t="str">
        <x:v>05_Papeis_Editaveis/PT_315.md</x:v>
      </x:c>
      <x:c r="D12" t="str">
        <x:v>EP + PL</x:v>
      </x:c>
      <x:c r="E12" t="str">
        <x:v>DFP 2025, notas e/ou relatório do auditor</x:v>
      </x:c>
      <x:c r="F12" t="str">
        <x:v>Revisão externa não realizada</x:v>
      </x:c>
      <x:c r="G12" t="str">
        <x:v>https://cfc.org.br/tecnica/normas-brasileiras-de-contabilidade/nbc-ta-de-auditoria-independente/</x:v>
      </x:c>
    </x:row>
    <x:row r="13">
      <x:c r="A13" t="str">
        <x:v>PT 320</x:v>
      </x:c>
      <x:c r="B13" t="str">
        <x:v>Materialidade</x:v>
      </x:c>
      <x:c r="C13" t="str">
        <x:v>05_Papeis_Editaveis/PT_320.md</x:v>
      </x:c>
      <x:c r="D13" t="str">
        <x:v>EP + análise didática</x:v>
      </x:c>
      <x:c r="E13" t="str">
        <x:v>Analises_Auditoria_SANEPAR_2025.xlsx</x:v>
      </x:c>
      <x:c r="F13" t="str">
        <x:v>Revisão externa não realizada</x:v>
      </x:c>
      <x:c r="G13" t="str">
        <x:v>https://cfc.org.br/tecnica/normas-brasileiras-de-contabilidade/nbc-ta-de-auditoria-independente/</x:v>
      </x:c>
    </x:row>
    <x:row r="14">
      <x:c r="A14" t="str">
        <x:v>PT 330</x:v>
      </x:c>
      <x:c r="B14" t="str">
        <x:v>Respostas aos riscos</x:v>
      </x:c>
      <x:c r="C14" t="str">
        <x:v>05_Papeis_Editaveis/PT_330.md</x:v>
      </x:c>
      <x:c r="D14" t="str">
        <x:v>EP + PL</x:v>
      </x:c>
      <x:c r="E14" t="str">
        <x:v>DFP 2025, notas e/ou relatório do auditor</x:v>
      </x:c>
      <x:c r="F14" t="str">
        <x:v>Revisão externa não realizada</x:v>
      </x:c>
      <x:c r="G14" t="str">
        <x:v>https://cfc.org.br/tecnica/normas-brasileiras-de-contabilidade/nbc-ta-de-auditoria-independente/</x:v>
      </x:c>
    </x:row>
    <x:row r="15">
      <x:c r="A15" t="str">
        <x:v>PT 402</x:v>
      </x:c>
      <x:c r="B15" t="str">
        <x:v>Serviços terceirizados</x:v>
      </x:c>
      <x:c r="C15" t="str">
        <x:v>05_Papeis_Editaveis/PT_402.md</x:v>
      </x:c>
      <x:c r="D15" t="str">
        <x:v>EP + PL</x:v>
      </x:c>
      <x:c r="E15" t="str">
        <x:v>DFP 2025, notas e/ou relatório do auditor</x:v>
      </x:c>
      <x:c r="F15" t="str">
        <x:v>Revisão externa não realizada</x:v>
      </x:c>
      <x:c r="G15" t="str">
        <x:v>https://cfc.org.br/tecnica/normas-brasileiras-de-contabilidade/nbc-ta-de-auditoria-independente/</x:v>
      </x:c>
    </x:row>
    <x:row r="16">
      <x:c r="A16" t="str">
        <x:v>PT 450</x:v>
      </x:c>
      <x:c r="B16" t="str">
        <x:v>Distorções</x:v>
      </x:c>
      <x:c r="C16" t="str">
        <x:v>05_Papeis_Editaveis/PT_450.md</x:v>
      </x:c>
      <x:c r="D16" t="str">
        <x:v>SIM + EP</x:v>
      </x:c>
      <x:c r="E16" t="str">
        <x:v>resultado_testes.json e base sintética</x:v>
      </x:c>
      <x:c r="F16" t="str">
        <x:v>Revisão externa não realizada</x:v>
      </x:c>
      <x:c r="G16" t="str">
        <x:v>https://cfc.org.br/tecnica/normas-brasileiras-de-contabilidade/nbc-ta-de-auditoria-independente/</x:v>
      </x:c>
    </x:row>
    <x:row r="17">
      <x:c r="A17" t="str">
        <x:v>PT 500</x:v>
      </x:c>
      <x:c r="B17" t="str">
        <x:v>Evidência</x:v>
      </x:c>
      <x:c r="C17" t="str">
        <x:v>05_Papeis_Editaveis/PT_500.md</x:v>
      </x:c>
      <x:c r="D17" t="str">
        <x:v>EP + PL</x:v>
      </x:c>
      <x:c r="E17" t="str">
        <x:v>DFP 2025, notas e/ou relatório do auditor</x:v>
      </x:c>
      <x:c r="F17" t="str">
        <x:v>Revisão externa não realizada</x:v>
      </x:c>
      <x:c r="G17" t="str">
        <x:v>https://cfc.org.br/tecnica/normas-brasileiras-de-contabilidade/nbc-ta-de-auditoria-independente/</x:v>
      </x:c>
    </x:row>
    <x:row r="18">
      <x:c r="A18" t="str">
        <x:v>PT 501</x:v>
      </x:c>
      <x:c r="B18" t="str">
        <x:v>Itens específicos</x:v>
      </x:c>
      <x:c r="C18" t="str">
        <x:v>05_Papeis_Editaveis/PT_501.md</x:v>
      </x:c>
      <x:c r="D18" t="str">
        <x:v>EP + PL</x:v>
      </x:c>
      <x:c r="E18" t="str">
        <x:v>DFP 2025, notas e/ou relatório do auditor</x:v>
      </x:c>
      <x:c r="F18" t="str">
        <x:v>Revisão externa não realizada</x:v>
      </x:c>
      <x:c r="G18" t="str">
        <x:v>https://cfc.org.br/tecnica/normas-brasileiras-de-contabilidade/nbc-ta-de-auditoria-independente/</x:v>
      </x:c>
    </x:row>
    <x:row r="19">
      <x:c r="A19" t="str">
        <x:v>PT 505</x:v>
      </x:c>
      <x:c r="B19" t="str">
        <x:v>Confirmações</x:v>
      </x:c>
      <x:c r="C19" t="str">
        <x:v>05_Papeis_Editaveis/PT_505.md</x:v>
      </x:c>
      <x:c r="D19" t="str">
        <x:v>PL + SIM (modelo)</x:v>
      </x:c>
      <x:c r="E19" t="str">
        <x:v>Modelo M01-M05, não enviado</x:v>
      </x:c>
      <x:c r="F19" t="str">
        <x:v>Revisão externa não realizada</x:v>
      </x:c>
      <x:c r="G19" t="str">
        <x:v>https://cfc.org.br/tecnica/normas-brasileiras-de-contabilidade/nbc-ta-de-auditoria-independente/</x:v>
      </x:c>
    </x:row>
    <x:row r="20">
      <x:c r="A20" t="str">
        <x:v>PT 510</x:v>
      </x:c>
      <x:c r="B20" t="str">
        <x:v>Saldos iniciais</x:v>
      </x:c>
      <x:c r="C20" t="str">
        <x:v>05_Papeis_Editaveis/PT_510.md</x:v>
      </x:c>
      <x:c r="D20" t="str">
        <x:v>EP + PL</x:v>
      </x:c>
      <x:c r="E20" t="str">
        <x:v>DFP 2025, notas e/ou relatório do auditor</x:v>
      </x:c>
      <x:c r="F20" t="str">
        <x:v>Revisão externa não realizada</x:v>
      </x:c>
      <x:c r="G20" t="str">
        <x:v>https://cfc.org.br/tecnica/normas-brasileiras-de-contabilidade/nbc-ta-de-auditoria-independente/</x:v>
      </x:c>
    </x:row>
    <x:row r="21">
      <x:c r="A21" t="str">
        <x:v>PT 520</x:v>
      </x:c>
      <x:c r="B21" t="str">
        <x:v>Analíticos</x:v>
      </x:c>
      <x:c r="C21" t="str">
        <x:v>05_Papeis_Editaveis/PT_520.md</x:v>
      </x:c>
      <x:c r="D21" t="str">
        <x:v>EP + análise didática</x:v>
      </x:c>
      <x:c r="E21" t="str">
        <x:v>Analises_Auditoria_SANEPAR_2025.xlsx</x:v>
      </x:c>
      <x:c r="F21" t="str">
        <x:v>Revisão externa não realizada</x:v>
      </x:c>
      <x:c r="G21" t="str">
        <x:v>https://cfc.org.br/tecnica/normas-brasileiras-de-contabilidade/nbc-ta-de-auditoria-independente/</x:v>
      </x:c>
    </x:row>
    <x:row r="22">
      <x:c r="A22" t="str">
        <x:v>PT 530</x:v>
      </x:c>
      <x:c r="B22" t="str">
        <x:v>Amostragem</x:v>
      </x:c>
      <x:c r="C22" t="str">
        <x:v>05_Papeis_Editaveis/PT_530.md</x:v>
      </x:c>
      <x:c r="D22" t="str">
        <x:v>SIM + EP</x:v>
      </x:c>
      <x:c r="E22" t="str">
        <x:v>resultado_testes.json e base sintética</x:v>
      </x:c>
      <x:c r="F22" t="str">
        <x:v>Revisão externa não realizada</x:v>
      </x:c>
      <x:c r="G22" t="str">
        <x:v>https://cfc.org.br/tecnica/normas-brasileiras-de-contabilidade/nbc-ta-de-auditoria-independente/</x:v>
      </x:c>
    </x:row>
    <x:row r="23">
      <x:c r="A23" t="str">
        <x:v>PT 540</x:v>
      </x:c>
      <x:c r="B23" t="str">
        <x:v>Estimativas</x:v>
      </x:c>
      <x:c r="C23" t="str">
        <x:v>05_Papeis_Editaveis/PT_540.md</x:v>
      </x:c>
      <x:c r="D23" t="str">
        <x:v>EP + PL</x:v>
      </x:c>
      <x:c r="E23" t="str">
        <x:v>DFP 2025, notas e/ou relatório do auditor</x:v>
      </x:c>
      <x:c r="F23" t="str">
        <x:v>Revisão externa não realizada</x:v>
      </x:c>
      <x:c r="G23" t="str">
        <x:v>https://cfc.org.br/tecnica/normas-brasileiras-de-contabilidade/nbc-ta-de-auditoria-independente/</x:v>
      </x:c>
    </x:row>
    <x:row r="24">
      <x:c r="A24" t="str">
        <x:v>PT 550</x:v>
      </x:c>
      <x:c r="B24" t="str">
        <x:v>Partes relacionadas</x:v>
      </x:c>
      <x:c r="C24" t="str">
        <x:v>05_Papeis_Editaveis/PT_550.md</x:v>
      </x:c>
      <x:c r="D24" t="str">
        <x:v>EP + PL</x:v>
      </x:c>
      <x:c r="E24" t="str">
        <x:v>DFP 2025, notas e/ou relatório do auditor</x:v>
      </x:c>
      <x:c r="F24" t="str">
        <x:v>Revisão externa não realizada</x:v>
      </x:c>
      <x:c r="G24" t="str">
        <x:v>https://cfc.org.br/tecnica/normas-brasileiras-de-contabilidade/nbc-ta-de-auditoria-independente/</x:v>
      </x:c>
    </x:row>
    <x:row r="25">
      <x:c r="A25" t="str">
        <x:v>PT 560</x:v>
      </x:c>
      <x:c r="B25" t="str">
        <x:v>Eventos subsequentes</x:v>
      </x:c>
      <x:c r="C25" t="str">
        <x:v>05_Papeis_Editaveis/PT_560.md</x:v>
      </x:c>
      <x:c r="D25" t="str">
        <x:v>EP + PL</x:v>
      </x:c>
      <x:c r="E25" t="str">
        <x:v>DFP 2025, notas e/ou relatório do auditor</x:v>
      </x:c>
      <x:c r="F25" t="str">
        <x:v>Revisão externa não realizada</x:v>
      </x:c>
      <x:c r="G25" t="str">
        <x:v>https://cfc.org.br/tecnica/normas-brasileiras-de-contabilidade/nbc-ta-de-auditoria-independente/</x:v>
      </x:c>
    </x:row>
    <x:row r="26">
      <x:c r="A26" t="str">
        <x:v>PT 570</x:v>
      </x:c>
      <x:c r="B26" t="str">
        <x:v>Continuidade</x:v>
      </x:c>
      <x:c r="C26" t="str">
        <x:v>05_Papeis_Editaveis/PT_570.md</x:v>
      </x:c>
      <x:c r="D26" t="str">
        <x:v>EP + análise didática</x:v>
      </x:c>
      <x:c r="E26" t="str">
        <x:v>Analises_Auditoria_SANEPAR_2025.xlsx</x:v>
      </x:c>
      <x:c r="F26" t="str">
        <x:v>Revisão externa não realizada</x:v>
      </x:c>
      <x:c r="G26" t="str">
        <x:v>https://cfc.org.br/tecnica/normas-brasileiras-de-contabilidade/nbc-ta-de-auditoria-independente/</x:v>
      </x:c>
    </x:row>
    <x:row r="27">
      <x:c r="A27" t="str">
        <x:v>PT 580</x:v>
      </x:c>
      <x:c r="B27" t="str">
        <x:v>Representações</x:v>
      </x:c>
      <x:c r="C27" t="str">
        <x:v>05_Papeis_Editaveis/PT_580.md</x:v>
      </x:c>
      <x:c r="D27" t="str">
        <x:v>PL + SIM (modelo)</x:v>
      </x:c>
      <x:c r="E27" t="str">
        <x:v>Modelo M01-M05, não enviado</x:v>
      </x:c>
      <x:c r="F27" t="str">
        <x:v>Revisão externa não realizada</x:v>
      </x:c>
      <x:c r="G27" t="str">
        <x:v>https://cfc.org.br/tecnica/normas-brasileiras-de-contabilidade/nbc-ta-de-auditoria-independente/</x:v>
      </x:c>
    </x:row>
    <x:row r="28">
      <x:c r="A28" t="str">
        <x:v>PT 600</x:v>
      </x:c>
      <x:c r="B28" t="str">
        <x:v>Grupo</x:v>
      </x:c>
      <x:c r="C28" t="str">
        <x:v>05_Papeis_Editaveis/PT_600.md</x:v>
      </x:c>
      <x:c r="D28" t="str">
        <x:v>EP + PL</x:v>
      </x:c>
      <x:c r="E28" t="str">
        <x:v>DFP 2025, notas e/ou relatório do auditor</x:v>
      </x:c>
      <x:c r="F28" t="str">
        <x:v>Revisão externa não realizada</x:v>
      </x:c>
      <x:c r="G28" t="str">
        <x:v>https://cfc.org.br/tecnica/normas-brasileiras-de-contabilidade/nbc-ta-de-auditoria-independente/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2" hidden="0" customWidth="1"/>
    <x:col min="3" max="3" width="21" hidden="0" customWidth="1"/>
    <x:col min="4" max="4" width="20" hidden="0" customWidth="1"/>
    <x:col min="5" max="5" width="15" hidden="0" customWidth="1"/>
    <x:col min="6" max="6" width="22" hidden="0" customWidth="1"/>
    <x:col min="7" max="7" width="20" hidden="0" customWidth="1"/>
    <x:col min="8" max="8" width="38" hidden="0" customWidth="1"/>
  </x:cols>
  <x:sheetData>
    <x:row r="1" ht="30" customHeight="1">
      <x:c r="A1" s="5" t="str">
        <x:v>Rubrica</x:v>
      </x:c>
      <x:c r="B1" s="5" t="str">
        <x:v>2025 (R$ mil)</x:v>
      </x:c>
      <x:c r="C1" s="5" t="str">
        <x:v>2024 (R$ mil)</x:v>
      </x:c>
      <x:c r="D1" s="5" t="str">
        <x:v>Variação</x:v>
      </x:c>
      <x:c r="E1" s="5" t="str">
        <x:v>AH %</x:v>
      </x:c>
      <x:c r="F1" s="5" t="str">
        <x:v>Limiar de investigação</x:v>
      </x:c>
      <x:c r="G1" s="5" t="str">
        <x:v>Avaliação de triagem</x:v>
      </x:c>
      <x:c r="H1" s="5" t="str">
        <x:v>Fonte</x:v>
      </x:c>
    </x:row>
    <x:row r="2">
      <x:c r="A2" t="str">
        <x:v>Ativo circulante</x:v>
      </x:c>
      <x:c r="B2" t="n">
        <x:v>7222564</x:v>
      </x:c>
      <x:c r="C2" t="n">
        <x:v>3296187</x:v>
      </x:c>
      <x:c r="D2" t="n">
        <x:f>B2-C2</x:f>
        <x:v>3926377</x:v>
      </x:c>
      <x:c r="E2" s="12" t="n">
        <x:f>IF(C2=0,0,D2/C2)</x:f>
        <x:v>1.1911875752194885</x:v>
      </x:c>
      <x:c r="F2" s="12" t="n">
        <x:v>0.15</x:v>
      </x:c>
      <x:c r="G2" t="str">
        <x:f>IF(AND(ABS(E2)&gt;=F2,ABS(D2)&gt;=100000),"INVESTIGAR","ACOMPANHAR")</x:f>
        <x:v>INVESTIGAR</x:v>
      </x:c>
      <x:c r="H2" t="str">
        <x:v>BP p.67</x:v>
      </x:c>
    </x:row>
    <x:row r="3">
      <x:c r="A3" t="str">
        <x:v>Caixa e equivalentes</x:v>
      </x:c>
      <x:c r="B3" t="n">
        <x:v>5608131</x:v>
      </x:c>
      <x:c r="C3" t="n">
        <x:v>1800757</x:v>
      </x:c>
      <x:c r="D3" t="n">
        <x:f>B3-C3</x:f>
        <x:v>3807374</x:v>
      </x:c>
      <x:c r="E3" s="12" t="n">
        <x:f>IF(C3=0,0,D3/C3)</x:f>
        <x:v>2.114318589348813</x:v>
      </x:c>
      <x:c r="F3" s="12" t="n">
        <x:v>0.15</x:v>
      </x:c>
      <x:c r="G3" t="str">
        <x:f>IF(AND(ABS(E3)&gt;=F3,ABS(D3)&gt;=100000),"INVESTIGAR","ACOMPANHAR")</x:f>
        <x:v>INVESTIGAR</x:v>
      </x:c>
      <x:c r="H3" t="str">
        <x:v>BP p.67 Nota 5</x:v>
      </x:c>
    </x:row>
    <x:row r="4">
      <x:c r="A4" t="str">
        <x:v>Clientes CP</x:v>
      </x:c>
      <x:c r="B4" t="n">
        <x:v>1175286</x:v>
      </x:c>
      <x:c r="C4" t="n">
        <x:v>1250811</x:v>
      </x:c>
      <x:c r="D4" t="n">
        <x:f>B4-C4</x:f>
        <x:v>-75525</x:v>
      </x:c>
      <x:c r="E4" s="12" t="n">
        <x:f>IF(C4=0,0,D4/C4)</x:f>
        <x:v>-0.06038082492079139</x:v>
      </x:c>
      <x:c r="F4" s="12" t="n">
        <x:v>0.15</x:v>
      </x:c>
      <x:c r="G4" t="str">
        <x:f>IF(AND(ABS(E4)&gt;=F4,ABS(D4)&gt;=100000),"INVESTIGAR","ACOMPANHAR")</x:f>
        <x:v>ACOMPANHAR</x:v>
      </x:c>
      <x:c r="H4" t="str">
        <x:v>BP p.67 Nota 6</x:v>
      </x:c>
    </x:row>
    <x:row r="5">
      <x:c r="A5" t="str">
        <x:v>Estoques</x:v>
      </x:c>
      <x:c r="B5" t="n">
        <x:v>97003</x:v>
      </x:c>
      <x:c r="C5" t="n">
        <x:v>73183</x:v>
      </x:c>
      <x:c r="D5" t="n">
        <x:f>B5-C5</x:f>
        <x:v>23820</x:v>
      </x:c>
      <x:c r="E5" s="12" t="n">
        <x:f>IF(C5=0,0,D5/C5)</x:f>
        <x:v>0.3254854269434158</x:v>
      </x:c>
      <x:c r="F5" s="12" t="n">
        <x:v>0.15</x:v>
      </x:c>
      <x:c r="G5" t="str">
        <x:f>IF(AND(ABS(E5)&gt;=F5,ABS(D5)&gt;=100000),"INVESTIGAR","ACOMPANHAR")</x:f>
        <x:v>ACOMPANHAR</x:v>
      </x:c>
      <x:c r="H5" t="str">
        <x:v>BP p.67</x:v>
      </x:c>
    </x:row>
    <x:row r="6">
      <x:c r="A6" t="str">
        <x:v>Ativo não circulante</x:v>
      </x:c>
      <x:c r="B6" t="n">
        <x:v>19243360</x:v>
      </x:c>
      <x:c r="C6" t="n">
        <x:v>17211813</x:v>
      </x:c>
      <x:c r="D6" t="n">
        <x:f>B6-C6</x:f>
        <x:v>2031547</x:v>
      </x:c>
      <x:c r="E6" s="12" t="n">
        <x:f>IF(C6=0,0,D6/C6)</x:f>
        <x:v>0.11803213293102824</x:v>
      </x:c>
      <x:c r="F6" s="12" t="n">
        <x:v>0.15</x:v>
      </x:c>
      <x:c r="G6" t="str">
        <x:f>IF(AND(ABS(E6)&gt;=F6,ABS(D6)&gt;=100000),"INVESTIGAR","ACOMPANHAR")</x:f>
        <x:v>ACOMPANHAR</x:v>
      </x:c>
      <x:c r="H6" t="str">
        <x:v>BP p.67</x:v>
      </x:c>
    </x:row>
    <x:row r="7">
      <x:c r="A7" t="str">
        <x:v>Ativo financeiro contratual</x:v>
      </x:c>
      <x:c r="B7" t="n">
        <x:v>797305</x:v>
      </x:c>
      <x:c r="C7" t="n">
        <x:v>850582</x:v>
      </x:c>
      <x:c r="D7" t="n">
        <x:f>B7-C7</x:f>
        <x:v>-53277</x:v>
      </x:c>
      <x:c r="E7" s="12" t="n">
        <x:f>IF(C7=0,0,D7/C7)</x:f>
        <x:v>-0.06263593633535626</x:v>
      </x:c>
      <x:c r="F7" s="12" t="n">
        <x:v>0.15</x:v>
      </x:c>
      <x:c r="G7" t="str">
        <x:f>IF(AND(ABS(E7)&gt;=F7,ABS(D7)&gt;=100000),"INVESTIGAR","ACOMPANHAR")</x:f>
        <x:v>ACOMPANHAR</x:v>
      </x:c>
      <x:c r="H7" t="str">
        <x:v>BP p.67 Nota 10</x:v>
      </x:c>
    </x:row>
    <x:row r="8">
      <x:c r="A8" t="str">
        <x:v>Ativo de contrato</x:v>
      </x:c>
      <x:c r="B8" t="n">
        <x:v>3685796</x:v>
      </x:c>
      <x:c r="C8" t="n">
        <x:v>2777922</x:v>
      </x:c>
      <x:c r="D8" t="n">
        <x:f>B8-C8</x:f>
        <x:v>907874</x:v>
      </x:c>
      <x:c r="E8" s="12" t="n">
        <x:f>IF(C8=0,0,D8/C8)</x:f>
        <x:v>0.32681767162648917</x:v>
      </x:c>
      <x:c r="F8" s="12" t="n">
        <x:v>0.15</x:v>
      </x:c>
      <x:c r="G8" t="str">
        <x:f>IF(AND(ABS(E8)&gt;=F8,ABS(D8)&gt;=100000),"INVESTIGAR","ACOMPANHAR")</x:f>
        <x:v>INVESTIGAR</x:v>
      </x:c>
      <x:c r="H8" t="str">
        <x:v>BP p.67 Nota 11</x:v>
      </x:c>
    </x:row>
    <x:row r="9">
      <x:c r="A9" t="str">
        <x:v>Imobilizado</x:v>
      </x:c>
      <x:c r="B9" t="n">
        <x:v>453245</x:v>
      </x:c>
      <x:c r="C9" t="n">
        <x:v>348623</x:v>
      </x:c>
      <x:c r="D9" t="n">
        <x:f>B9-C9</x:f>
        <x:v>104622</x:v>
      </x:c>
      <x:c r="E9" s="12" t="n">
        <x:f>IF(C9=0,0,D9/C9)</x:f>
        <x:v>0.3001006818253529</x:v>
      </x:c>
      <x:c r="F9" s="12" t="n">
        <x:v>0.15</x:v>
      </x:c>
      <x:c r="G9" t="str">
        <x:f>IF(AND(ABS(E9)&gt;=F9,ABS(D9)&gt;=100000),"INVESTIGAR","ACOMPANHAR")</x:f>
        <x:v>INVESTIGAR</x:v>
      </x:c>
      <x:c r="H9" t="str">
        <x:v>BP p.67 Nota 13a</x:v>
      </x:c>
    </x:row>
    <x:row r="10">
      <x:c r="A10" t="str">
        <x:v>Intangível</x:v>
      </x:c>
      <x:c r="B10" t="n">
        <x:v>12602327</x:v>
      </x:c>
      <x:c r="C10" t="n">
        <x:v>11589509</x:v>
      </x:c>
      <x:c r="D10" t="n">
        <x:f>B10-C10</x:f>
        <x:v>1012818</x:v>
      </x:c>
      <x:c r="E10" s="12" t="n">
        <x:f>IF(C10=0,0,D10/C10)</x:f>
        <x:v>0.08739093260982843</x:v>
      </x:c>
      <x:c r="F10" s="12" t="n">
        <x:v>0.15</x:v>
      </x:c>
      <x:c r="G10" t="str">
        <x:f>IF(AND(ABS(E10)&gt;=F10,ABS(D10)&gt;=100000),"INVESTIGAR","ACOMPANHAR")</x:f>
        <x:v>ACOMPANHAR</x:v>
      </x:c>
      <x:c r="H10" t="str">
        <x:v>BP p.67 Nota 13b</x:v>
      </x:c>
    </x:row>
    <x:row r="11">
      <x:c r="A11" t="str">
        <x:v>Ativo total</x:v>
      </x:c>
      <x:c r="B11" t="n">
        <x:v>26465924</x:v>
      </x:c>
      <x:c r="C11" t="n">
        <x:v>20508000</x:v>
      </x:c>
      <x:c r="D11" t="n">
        <x:f>B11-C11</x:f>
        <x:v>5957924</x:v>
      </x:c>
      <x:c r="E11" s="12" t="n">
        <x:f>IF(C11=0,0,D11/C11)</x:f>
        <x:v>0.29051706651063</x:v>
      </x:c>
      <x:c r="F11" s="12" t="n">
        <x:v>0.15</x:v>
      </x:c>
      <x:c r="G11" t="str">
        <x:f>IF(AND(ABS(E11)&gt;=F11,ABS(D11)&gt;=100000),"INVESTIGAR","ACOMPANHAR")</x:f>
        <x:v>INVESTIGAR</x:v>
      </x:c>
      <x:c r="H11" t="str">
        <x:v>BP p.67</x:v>
      </x:c>
    </x:row>
    <x:row r="12">
      <x:c r="A12" t="str">
        <x:v>Passivo circulante</x:v>
      </x:c>
      <x:c r="B12" t="n">
        <x:v>6024748</x:v>
      </x:c>
      <x:c r="C12" t="n">
        <x:v>1850428</x:v>
      </x:c>
      <x:c r="D12" t="n">
        <x:f>B12-C12</x:f>
        <x:v>4174320</x:v>
      </x:c>
      <x:c r="E12" s="12" t="n">
        <x:f>IF(C12=0,0,D12/C12)</x:f>
        <x:v>2.255867291242891</x:v>
      </x:c>
      <x:c r="F12" s="12" t="n">
        <x:v>0.15</x:v>
      </x:c>
      <x:c r="G12" t="str">
        <x:f>IF(AND(ABS(E12)&gt;=F12,ABS(D12)&gt;=100000),"INVESTIGAR","ACOMPANHAR")</x:f>
        <x:v>INVESTIGAR</x:v>
      </x:c>
      <x:c r="H12" t="str">
        <x:v>BP p.68</x:v>
      </x:c>
    </x:row>
    <x:row r="13">
      <x:c r="A13" t="str">
        <x:v>Dívida CP</x:v>
      </x:c>
      <x:c r="B13" t="n">
        <x:v>997329</x:v>
      </x:c>
      <x:c r="C13" t="n">
        <x:v>584638</x:v>
      </x:c>
      <x:c r="D13" t="n">
        <x:f>B13-C13</x:f>
        <x:v>412691</x:v>
      </x:c>
      <x:c r="E13" s="12" t="n">
        <x:f>IF(C13=0,0,D13/C13)</x:f>
        <x:v>0.7058915089337333</x:v>
      </x:c>
      <x:c r="F13" s="12" t="n">
        <x:v>0.15</x:v>
      </x:c>
      <x:c r="G13" t="str">
        <x:f>IF(AND(ABS(E13)&gt;=F13,ABS(D13)&gt;=100000),"INVESTIGAR","ACOMPANHAR")</x:f>
        <x:v>INVESTIGAR</x:v>
      </x:c>
      <x:c r="H13" t="str">
        <x:v>BP p.68 Nota 14</x:v>
      </x:c>
    </x:row>
    <x:row r="14">
      <x:c r="A14" t="str">
        <x:v>Passivo regulatório CP</x:v>
      </x:c>
      <x:c r="B14" t="n">
        <x:v>3305438</x:v>
      </x:c>
      <x:c r="C14" t="n">
        <x:v>0</x:v>
      </x:c>
      <x:c r="D14" t="n">
        <x:f>B14-C14</x:f>
        <x:v>3305438</x:v>
      </x:c>
      <x:c r="E14" s="12" t="n">
        <x:f>IF(C14=0,0,D14/C14)</x:f>
        <x:v>0</x:v>
      </x:c>
      <x:c r="F14" s="12" t="n">
        <x:v>0.15</x:v>
      </x:c>
      <x:c r="G14" t="str">
        <x:f>IF(AND(ABS(E14)&gt;=F14,ABS(D14)&gt;=100000),"INVESTIGAR","ACOMPANHAR")</x:f>
        <x:v>ACOMPANHAR</x:v>
      </x:c>
      <x:c r="H14" t="str">
        <x:v>BP p.68 Nota 21</x:v>
      </x:c>
    </x:row>
    <x:row r="15">
      <x:c r="A15" t="str">
        <x:v>Passivo não circulante</x:v>
      </x:c>
      <x:c r="B15" t="n">
        <x:v>8093395</x:v>
      </x:c>
      <x:c r="C15" t="n">
        <x:v>7828865</x:v>
      </x:c>
      <x:c r="D15" t="n">
        <x:f>B15-C15</x:f>
        <x:v>264530</x:v>
      </x:c>
      <x:c r="E15" s="12" t="n">
        <x:f>IF(C15=0,0,D15/C15)</x:f>
        <x:v>0.03378906137735163</x:v>
      </x:c>
      <x:c r="F15" s="12" t="n">
        <x:v>0.15</x:v>
      </x:c>
      <x:c r="G15" t="str">
        <x:f>IF(AND(ABS(E15)&gt;=F15,ABS(D15)&gt;=100000),"INVESTIGAR","ACOMPANHAR")</x:f>
        <x:v>ACOMPANHAR</x:v>
      </x:c>
      <x:c r="H15" t="str">
        <x:v>BP p.68</x:v>
      </x:c>
    </x:row>
    <x:row r="16">
      <x:c r="A16" t="str">
        <x:v>Dívida LP</x:v>
      </x:c>
      <x:c r="B16" t="n">
        <x:v>6395335</x:v>
      </x:c>
      <x:c r="C16" t="n">
        <x:v>6046697</x:v>
      </x:c>
      <x:c r="D16" t="n">
        <x:f>B16-C16</x:f>
        <x:v>348638</x:v>
      </x:c>
      <x:c r="E16" s="12" t="n">
        <x:f>IF(C16=0,0,D16/C16)</x:f>
        <x:v>0.057657593889688864</x:v>
      </x:c>
      <x:c r="F16" s="12" t="n">
        <x:v>0.15</x:v>
      </x:c>
      <x:c r="G16" t="str">
        <x:f>IF(AND(ABS(E16)&gt;=F16,ABS(D16)&gt;=100000),"INVESTIGAR","ACOMPANHAR")</x:f>
        <x:v>ACOMPANHAR</x:v>
      </x:c>
      <x:c r="H16" t="str">
        <x:v>BP p.68 Nota 14</x:v>
      </x:c>
    </x:row>
    <x:row r="17">
      <x:c r="A17" t="str">
        <x:v>Passivo total</x:v>
      </x:c>
      <x:c r="B17" t="n">
        <x:v>14118143</x:v>
      </x:c>
      <x:c r="C17" t="n">
        <x:v>9679293</x:v>
      </x:c>
      <x:c r="D17" t="n">
        <x:f>B17-C17</x:f>
        <x:v>4438850</x:v>
      </x:c>
      <x:c r="E17" s="12" t="n">
        <x:f>IF(C17=0,0,D17/C17)</x:f>
        <x:v>0.45859237859624663</x:v>
      </x:c>
      <x:c r="F17" s="12" t="n">
        <x:v>0.15</x:v>
      </x:c>
      <x:c r="G17" t="str">
        <x:f>IF(AND(ABS(E17)&gt;=F17,ABS(D17)&gt;=100000),"INVESTIGAR","ACOMPANHAR")</x:f>
        <x:v>INVESTIGAR</x:v>
      </x:c>
      <x:c r="H17" t="str">
        <x:v>BP p.68</x:v>
      </x:c>
    </x:row>
    <x:row r="18">
      <x:c r="A18" t="str">
        <x:v>Patrimônio líquido</x:v>
      </x:c>
      <x:c r="B18" t="n">
        <x:v>12347781</x:v>
      </x:c>
      <x:c r="C18" t="n">
        <x:v>10828707</x:v>
      </x:c>
      <x:c r="D18" t="n">
        <x:f>B18-C18</x:f>
        <x:v>1519074</x:v>
      </x:c>
      <x:c r="E18" s="12" t="n">
        <x:f>IF(C18=0,0,D18/C18)</x:f>
        <x:v>0.14028212232540782</x:v>
      </x:c>
      <x:c r="F18" s="12" t="n">
        <x:v>0.15</x:v>
      </x:c>
      <x:c r="G18" t="str">
        <x:f>IF(AND(ABS(E18)&gt;=F18,ABS(D18)&gt;=100000),"INVESTIGAR","ACOMPANHAR")</x:f>
        <x:v>ACOMPANHAR</x:v>
      </x:c>
      <x:c r="H18" t="str">
        <x:v>BP p.68</x:v>
      </x:c>
    </x:row>
    <x:row r="19">
      <x:c r="A19" t="str">
        <x:v>Receita líquida</x:v>
      </x:c>
      <x:c r="B19" t="n">
        <x:v>7205727</x:v>
      </x:c>
      <x:c r="C19" t="n">
        <x:v>6848219</x:v>
      </x:c>
      <x:c r="D19" t="n">
        <x:f>B19-C19</x:f>
        <x:v>357508</x:v>
      </x:c>
      <x:c r="E19" s="12" t="n">
        <x:f>IF(C19=0,0,D19/C19)</x:f>
        <x:v>0.05220452208085051</x:v>
      </x:c>
      <x:c r="F19" s="12" t="n">
        <x:v>0.15</x:v>
      </x:c>
      <x:c r="G19" t="str">
        <x:f>IF(AND(ABS(E19)&gt;=F19,ABS(D19)&gt;=100000),"INVESTIGAR","ACOMPANHAR")</x:f>
        <x:v>ACOMPANHAR</x:v>
      </x:c>
      <x:c r="H19" t="str">
        <x:v>DRE p.69</x:v>
      </x:c>
    </x:row>
    <x:row r="20">
      <x:c r="A20" t="str">
        <x:v>Custo serviços</x:v>
      </x:c>
      <x:c r="B20" t="n">
        <x:v>3150783</x:v>
      </x:c>
      <x:c r="C20" t="n">
        <x:v>2890386</x:v>
      </x:c>
      <x:c r="D20" t="n">
        <x:f>B20-C20</x:f>
        <x:v>260397</x:v>
      </x:c>
      <x:c r="E20" s="12" t="n">
        <x:f>IF(C20=0,0,D20/C20)</x:f>
        <x:v>0.09009073528587531</x:v>
      </x:c>
      <x:c r="F20" s="12" t="n">
        <x:v>0.15</x:v>
      </x:c>
      <x:c r="G20" t="str">
        <x:f>IF(AND(ABS(E20)&gt;=F20,ABS(D20)&gt;=100000),"INVESTIGAR","ACOMPANHAR")</x:f>
        <x:v>ACOMPANHAR</x:v>
      </x:c>
      <x:c r="H20" t="str">
        <x:v>DRE p.69 (despesa em valor absoluto)</x:v>
      </x:c>
    </x:row>
    <x:row r="21">
      <x:c r="A21" t="str">
        <x:v>Lucro bruto</x:v>
      </x:c>
      <x:c r="B21" t="n">
        <x:v>4054944</x:v>
      </x:c>
      <x:c r="C21" t="n">
        <x:v>3957833</x:v>
      </x:c>
      <x:c r="D21" t="n">
        <x:f>B21-C21</x:f>
        <x:v>97111</x:v>
      </x:c>
      <x:c r="E21" s="12" t="n">
        <x:f>IF(C21=0,0,D21/C21)</x:f>
        <x:v>0.024536406664960347</x:v>
      </x:c>
      <x:c r="F21" s="12" t="n">
        <x:v>0.15</x:v>
      </x:c>
      <x:c r="G21" t="str">
        <x:f>IF(AND(ABS(E21)&gt;=F21,ABS(D21)&gt;=100000),"INVESTIGAR","ACOMPANHAR")</x:f>
        <x:v>ACOMPANHAR</x:v>
      </x:c>
      <x:c r="H21" t="str">
        <x:v>DRE p.69</x:v>
      </x:c>
    </x:row>
    <x:row r="22">
      <x:c r="A22" t="str">
        <x:v>Lucro líquido</x:v>
      </x:c>
      <x:c r="B22" t="n">
        <x:v>2079568</x:v>
      </x:c>
      <x:c r="C22" t="n">
        <x:v>1545347</x:v>
      </x:c>
      <x:c r="D22" t="n">
        <x:f>B22-C22</x:f>
        <x:v>534221</x:v>
      </x:c>
      <x:c r="E22" s="12" t="n">
        <x:f>IF(C22=0,0,D22/C22)</x:f>
        <x:v>0.3456964681718734</x:v>
      </x:c>
      <x:c r="F22" s="12" t="n">
        <x:v>0.15</x:v>
      </x:c>
      <x:c r="G22" t="str">
        <x:f>IF(AND(ABS(E22)&gt;=F22,ABS(D22)&gt;=100000),"INVESTIGAR","ACOMPANHAR")</x:f>
        <x:v>INVESTIGAR</x:v>
      </x:c>
      <x:c r="H22" t="str">
        <x:v>DRE p.69</x:v>
      </x:c>
    </x:row>
    <x:row r="23">
      <x:c r="A23" t="str">
        <x:v>Despesa passivo regulatório</x:v>
      </x:c>
      <x:c r="B23" t="n">
        <x:v>1541818</x:v>
      </x:c>
      <x:c r="C23" t="n">
        <x:v>0</x:v>
      </x:c>
      <x:c r="D23" t="n">
        <x:f>B23-C23</x:f>
        <x:v>1541818</x:v>
      </x:c>
      <x:c r="E23" s="12" t="n">
        <x:f>IF(C23=0,0,D23/C23)</x:f>
        <x:v>0</x:v>
      </x:c>
      <x:c r="F23" s="12" t="n">
        <x:v>0.15</x:v>
      </x:c>
      <x:c r="G23" t="str">
        <x:f>IF(AND(ABS(E23)&gt;=F23,ABS(D23)&gt;=100000),"INVESTIGAR","ACOMPANHAR")</x:f>
        <x:v>ACOMPANHAR</x:v>
      </x:c>
      <x:c r="H23" t="str">
        <x:v>DRE p.69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23" hidden="0" customWidth="1"/>
    <x:col min="3" max="3" width="21" hidden="0" customWidth="1"/>
    <x:col min="4" max="4" width="27" hidden="0" customWidth="1"/>
    <x:col min="5" max="5" width="21" hidden="0" customWidth="1"/>
    <x:col min="6" max="6" width="29" hidden="0" customWidth="1"/>
    <x:col min="7" max="7" width="21" hidden="0" customWidth="1"/>
    <x:col min="8" max="8" width="30" hidden="0" customWidth="1"/>
  </x:cols>
  <x:sheetData>
    <x:row r="1" ht="30" customHeight="1">
      <x:c r="A1" s="5" t="str">
        <x:v>Categoria</x:v>
      </x:c>
      <x:c r="B1" s="5" t="str">
        <x:v>Registros sintéticos</x:v>
      </x:c>
      <x:c r="C1" s="5" t="str">
        <x:v>Custo (R$ mil)</x:v>
      </x:c>
      <x:c r="D1" s="5" t="str">
        <x:v>Amortização acum. (R$ mil)</x:v>
      </x:c>
      <x:c r="E1" s="5" t="str">
        <x:v>Líquido calculado</x:v>
      </x:c>
      <x:c r="F1" s="5" t="str">
        <x:v>Líquido publicado (R$ mil)</x:v>
      </x:c>
      <x:c r="G1" s="5" t="str">
        <x:v>Diferença</x:v>
      </x:c>
      <x:c r="H1" s="5" t="str">
        <x:v>Fonte</x:v>
      </x:c>
    </x:row>
    <x:row r="2">
      <x:c r="A2" t="str">
        <x:v>Sistemas de Água</x:v>
      </x:c>
      <x:c r="B2" t="n">
        <x:v>230000</x:v>
      </x:c>
      <x:c r="C2" t="n">
        <x:v>8129035</x:v>
      </x:c>
      <x:c r="D2" t="n">
        <x:v>2588194</x:v>
      </x:c>
      <x:c r="E2" t="n">
        <x:f>C2-D2</x:f>
        <x:v>5540841</x:v>
      </x:c>
      <x:c r="F2" t="n">
        <x:v>5540841</x:v>
      </x:c>
      <x:c r="G2" t="n">
        <x:f>E2-F2</x:f>
        <x:v>0</x:v>
      </x:c>
      <x:c r="H2" t="str">
        <x:v>DFP Nota 13b, p.94</x:v>
      </x:c>
    </x:row>
    <x:row r="3">
      <x:c r="A3" t="str">
        <x:v>Sistemas de Esgoto</x:v>
      </x:c>
      <x:c r="B3" t="n">
        <x:v>225000</x:v>
      </x:c>
      <x:c r="C3" t="n">
        <x:v>8730506</x:v>
      </x:c>
      <x:c r="D3" t="n">
        <x:v>2287135</x:v>
      </x:c>
      <x:c r="E3" t="n">
        <x:f>C3-D3</x:f>
        <x:v>6443371</x:v>
      </x:c>
      <x:c r="F3" t="n">
        <x:v>6443371</x:v>
      </x:c>
      <x:c r="G3" t="n">
        <x:f>E3-F3</x:f>
        <x:v>0</x:v>
      </x:c>
      <x:c r="H3" t="str">
        <x:v>DFP Nota 13b, p.94</x:v>
      </x:c>
    </x:row>
    <x:row r="4">
      <x:c r="A4" t="str">
        <x:v>Resíduos Sólidos</x:v>
      </x:c>
      <x:c r="B4" t="n">
        <x:v>1000</x:v>
      </x:c>
      <x:c r="C4" t="n">
        <x:v>7577</x:v>
      </x:c>
      <x:c r="D4" t="n">
        <x:v>7577</x:v>
      </x:c>
      <x:c r="E4" t="n">
        <x:f>C4-D4</x:f>
        <x:v>0</x:v>
      </x:c>
      <x:c r="F4" t="n">
        <x:v>0</x:v>
      </x:c>
      <x:c r="G4" t="n">
        <x:f>E4-F4</x:f>
        <x:v>0</x:v>
      </x:c>
      <x:c r="H4" t="str">
        <x:v>DFP Nota 13b, p.94</x:v>
      </x:c>
    </x:row>
    <x:row r="5">
      <x:c r="A5" t="str">
        <x:v>Direitos de Uso e Operação de Sistemas</x:v>
      </x:c>
      <x:c r="B5" t="n">
        <x:v>2000</x:v>
      </x:c>
      <x:c r="C5" t="n">
        <x:v>125120</x:v>
      </x:c>
      <x:c r="D5" t="n">
        <x:v>83089</x:v>
      </x:c>
      <x:c r="E5" t="n">
        <x:f>C5-D5</x:f>
        <x:v>42031</x:v>
      </x:c>
      <x:c r="F5" t="n">
        <x:v>42031</x:v>
      </x:c>
      <x:c r="G5" t="n">
        <x:f>E5-F5</x:f>
        <x:v>0</x:v>
      </x:c>
      <x:c r="H5" t="str">
        <x:v>DFP Nota 13b, p.94</x:v>
      </x:c>
    </x:row>
    <x:row r="6">
      <x:c r="A6" t="str">
        <x:v>Direito de Uso em Arrendamento</x:v>
      </x:c>
      <x:c r="B6" t="n">
        <x:v>4000</x:v>
      </x:c>
      <x:c r="C6" t="n">
        <x:v>202115</x:v>
      </x:c>
      <x:c r="D6" t="n">
        <x:v>36694</x:v>
      </x:c>
      <x:c r="E6" t="n">
        <x:f>C6-D6</x:f>
        <x:v>165421</x:v>
      </x:c>
      <x:c r="F6" t="n">
        <x:v>165421</x:v>
      </x:c>
      <x:c r="G6" t="n">
        <x:f>E6-F6</x:f>
        <x:v>0</x:v>
      </x:c>
      <x:c r="H6" t="str">
        <x:v>DFP Nota 13b, p.94</x:v>
      </x:c>
    </x:row>
    <x:row r="7">
      <x:c r="A7" t="str">
        <x:v>Sistemas de Informática em Implantação</x:v>
      </x:c>
      <x:c r="B7" t="n">
        <x:v>5000</x:v>
      </x:c>
      <x:c r="C7" t="n">
        <x:v>120623</x:v>
      </x:c>
      <x:c r="D7" t="n">
        <x:v>0</x:v>
      </x:c>
      <x:c r="E7" t="n">
        <x:f>C7-D7</x:f>
        <x:v>120623</x:v>
      </x:c>
      <x:c r="F7" t="n">
        <x:v>120623</x:v>
      </x:c>
      <x:c r="G7" t="n">
        <x:f>E7-F7</x:f>
        <x:v>0</x:v>
      </x:c>
      <x:c r="H7" t="str">
        <x:v>DFP Nota 13b, p.94</x:v>
      </x:c>
    </x:row>
    <x:row r="8">
      <x:c r="A8" t="str">
        <x:v>Outros Ativos Intangíveis</x:v>
      </x:c>
      <x:c r="B8" t="n">
        <x:v>33000</x:v>
      </x:c>
      <x:c r="C8" t="n">
        <x:v>463439</x:v>
      </x:c>
      <x:c r="D8" t="n">
        <x:v>173399</x:v>
      </x:c>
      <x:c r="E8" t="n">
        <x:f>C8-D8</x:f>
        <x:v>290040</x:v>
      </x:c>
      <x:c r="F8" t="n">
        <x:v>290040</x:v>
      </x:c>
      <x:c r="G8" t="n">
        <x:f>E8-F8</x:f>
        <x:v>0</x:v>
      </x:c>
      <x:c r="H8" t="str">
        <x:v>DFP Nota 13b, p.94</x:v>
      </x:c>
    </x:row>
    <x:row r="9">
      <x:c r="A9" t="str">
        <x:v>TOTAL</x:v>
      </x:c>
      <x:c r="B9" t="n">
        <x:f>SUM(B2:B8)</x:f>
        <x:v>500000</x:v>
      </x:c>
      <x:c r="C9" t="n">
        <x:f>SUM(C2:C8)</x:f>
        <x:v>17778415</x:v>
      </x:c>
      <x:c r="D9" t="n">
        <x:f>SUM(D2:D8)</x:f>
        <x:v>5176088</x:v>
      </x:c>
      <x:c r="E9" t="n">
        <x:f>SUM(E2:E8)</x:f>
        <x:v>12602327</x:v>
      </x:c>
      <x:c r="F9" t="n">
        <x:v>12602327</x:v>
      </x:c>
      <x:c r="G9" t="n">
        <x:f>E9-F9</x:f>
        <x:v>0</x:v>
      </x:c>
      <x:c r="H9" t="str">
        <x:v>DFP p.94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1" hidden="0" customWidth="1"/>
    <x:col min="2" max="2" width="25" hidden="0" customWidth="1"/>
    <x:col min="3" max="3" width="18" hidden="0" customWidth="1"/>
    <x:col min="4" max="4" width="70" hidden="0" customWidth="1"/>
  </x:cols>
  <x:sheetData>
    <x:row r="1" ht="30" customHeight="1">
      <x:c r="A1" s="5" t="str">
        <x:v>Indicador</x:v>
      </x:c>
      <x:c r="B1" s="5" t="str">
        <x:v>Resultado</x:v>
      </x:c>
      <x:c r="C1" s="5" t="str">
        <x:v>Unidade</x:v>
      </x:c>
      <x:c r="D1" s="5" t="str">
        <x:v>Procedimento / nota</x:v>
      </x:c>
    </x:row>
    <x:row r="2">
      <x:c r="A2" t="str">
        <x:v>Registros</x:v>
      </x:c>
      <x:c r="B2" t="n">
        <x:v>500000</x:v>
      </x:c>
      <x:c r="C2" t="str">
        <x:v>linhas</x:v>
      </x:c>
      <x:c r="D2" t="str">
        <x:v>gerar_base.py, seed 20251025</x:v>
      </x:c>
    </x:row>
    <x:row r="3">
      <x:c r="A3" t="str">
        <x:v>Valor bruto</x:v>
      </x:c>
      <x:c r="B3" t="n">
        <x:v>17778415000</x:v>
      </x:c>
      <x:c r="C3" t="str">
        <x:v>R$</x:v>
      </x:c>
      <x:c r="D3" t="str">
        <x:v>Nota 13b</x:v>
      </x:c>
    </x:row>
    <x:row r="4">
      <x:c r="A4" t="str">
        <x:v>Amortização acumulada</x:v>
      </x:c>
      <x:c r="B4" t="n">
        <x:v>5176088000</x:v>
      </x:c>
      <x:c r="C4" t="str">
        <x:v>R$</x:v>
      </x:c>
      <x:c r="D4" t="str">
        <x:v>Nota 13b</x:v>
      </x:c>
    </x:row>
    <x:row r="5">
      <x:c r="A5" t="str">
        <x:v>Valor líquido correto</x:v>
      </x:c>
      <x:c r="B5" t="n">
        <x:v>12602327000</x:v>
      </x:c>
      <x:c r="C5" t="str">
        <x:v>R$</x:v>
      </x:c>
      <x:c r="D5" t="str">
        <x:v>Nota 13b</x:v>
      </x:c>
    </x:row>
    <x:row r="6">
      <x:c r="A6" t="str">
        <x:v>Valor líquido registrado (SIM)</x:v>
      </x:c>
      <x:c r="B6" t="n">
        <x:v>12601710821.31</x:v>
      </x:c>
      <x:c r="C6" t="str">
        <x:v>R$</x:v>
      </x:c>
      <x:c r="D6" t="str">
        <x:v>Valor fictício com distorções plantadas</x:v>
      </x:c>
    </x:row>
    <x:row r="7">
      <x:c r="A7" t="str">
        <x:v>Diferença registrada - correta</x:v>
      </x:c>
      <x:c r="B7" t="n">
        <x:f>B6-B5</x:f>
        <x:v>-616178.690000534</x:v>
      </x:c>
      <x:c r="C7" t="str">
        <x:v>R$</x:v>
      </x:c>
      <x:c r="D7" t="str">
        <x:v>Distorção líquida EXCLUSIVAMENTE SIMULADA</x:v>
      </x:c>
    </x:row>
    <x:row r="8">
      <x:c r="A8" t="str">
        <x:v>Exceções plantadas</x:v>
      </x:c>
      <x:c r="B8" t="n">
        <x:v>428</x:v>
      </x:c>
      <x:c r="C8" t="str">
        <x:v>registros</x:v>
      </x:c>
      <x:c r="D8" t="str">
        <x:v>gabarito erros</x:v>
      </x:c>
    </x:row>
    <x:row r="9">
      <x:c r="A9" t="str">
        <x:v>Exceções detectadas</x:v>
      </x:c>
      <x:c r="B9" t="n">
        <x:v>428</x:v>
      </x:c>
      <x:c r="C9" t="str">
        <x:v>registros</x:v>
      </x:c>
      <x:c r="D9" t="str">
        <x:v>teste cego integral</x:v>
      </x:c>
    </x:row>
    <x:row r="10">
      <x:c r="A10" t="str">
        <x:v>Diferença valor líquido</x:v>
      </x:c>
      <x:c r="B10" t="n">
        <x:v>180</x:v>
      </x:c>
      <x:c r="C10" t="str">
        <x:v>registros</x:v>
      </x:c>
      <x:c r="D10" t="str">
        <x:v>teste recálculo</x:v>
      </x:c>
    </x:row>
    <x:row r="11">
      <x:c r="A11" t="str">
        <x:v>Data após corte</x:v>
      </x:c>
      <x:c r="B11" t="n">
        <x:v>123</x:v>
      </x:c>
      <x:c r="C11" t="str">
        <x:v>registros</x:v>
      </x:c>
      <x:c r="D11" t="str">
        <x:v>teste data</x:v>
      </x:c>
    </x:row>
    <x:row r="12">
      <x:c r="A12" t="str">
        <x:v>Referência vazia</x:v>
      </x:c>
      <x:c r="B12" t="n">
        <x:v>125</x:v>
      </x:c>
      <x:c r="C12" t="str">
        <x:v>registros</x:v>
      </x:c>
      <x:c r="D12" t="str">
        <x:v>teste doc</x:v>
      </x:c>
    </x:row>
    <x:row r="13">
      <x:c r="A13" t="str">
        <x:v>Taxa de exceções</x:v>
      </x:c>
      <x:c r="B13" s="14" t="n">
        <x:f>B8/B2</x:f>
        <x:v>0.000856</x:v>
      </x:c>
      <x:c r="C13" t="str">
        <x:v>decimal</x:v>
      </x:c>
      <x:c r="D13" t="str">
        <x:v>428/500000</x:v>
      </x:c>
    </x:row>
    <x:row r="14">
      <x:c r="A14" t="str">
        <x:v>Amostra exploratória</x:v>
      </x:c>
      <x:c r="B14" t="n">
        <x:v>400</x:v>
      </x:c>
      <x:c r="C14" t="str">
        <x:v>registros</x:v>
      </x:c>
      <x:c r="D14" t="str">
        <x:v>amostra reservoir</x:v>
      </x:c>
    </x:row>
    <x:row r="15">
      <x:c r="A15" t="str">
        <x:v>Exceções na amostra</x:v>
      </x:c>
      <x:c r="B15" t="n">
        <x:v>0</x:v>
      </x:c>
      <x:c r="C15" t="str">
        <x:v>registros</x:v>
      </x:c>
      <x:c r="D15" t="str">
        <x:v>zero não comprova ausência</x:v>
      </x:c>
    </x:row>
    <x:row r="16">
      <x:c r="A16" t="str">
        <x:v>Probabilidade 0 achados (aprox)</x:v>
      </x:c>
      <x:c r="B16" s="12" t="n">
        <x:f>(1-B13)^B14</x:f>
        <x:v>0.7099600125511527</x:v>
      </x:c>
      <x:c r="C16" t="str">
        <x:v>decimal</x:v>
      </x:c>
      <x:c r="D16" t="str">
        <x:v>(1 - prevalência)^400; amostra aleatória simples</x:v>
      </x:c>
    </x:row>
    <x:row r="17">
      <x:c r="A17" t="str">
        <x:v>Nota</x:v>
      </x:c>
      <x:c r="B17" t="str">
        <x:v>Exceções artificiais jamais devem ser atribuídas à companhia.</x:v>
      </x:c>
      <x:c r="C17" t="str"/>
      <x:c r="D17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5" hidden="0" customWidth="1"/>
    <x:col min="3" max="3" width="76" hidden="0" customWidth="1"/>
  </x:cols>
  <x:sheetData>
    <x:row r="1" ht="30" customHeight="1">
      <x:c r="A1" s="5" t="str">
        <x:v>Parâmetro ilustrativo</x:v>
      </x:c>
      <x:c r="B1" s="5" t="str">
        <x:v>Valor</x:v>
      </x:c>
      <x:c r="C1" s="5" t="str">
        <x:v>Referência / aviso</x:v>
      </x:c>
    </x:row>
    <x:row r="2">
      <x:c r="A2" t="str">
        <x:v>Provisão registrada (R$ mil)</x:v>
      </x:c>
      <x:c r="B2" t="n">
        <x:v>3305438</x:v>
      </x:c>
      <x:c r="C2" t="str">
        <x:v>DFP BP p.68 Nota 21</x:v>
      </x:c>
    </x:row>
    <x:row r="3">
      <x:c r="A3" t="str">
        <x:v>Percentual base</x:v>
      </x:c>
      <x:c r="B3" s="12" t="n">
        <x:v>0.75</x:v>
      </x:c>
      <x:c r="C3" t="str">
        <x:v>Regra/registro publicado (75%); premissa acadêmica de escala</x:v>
      </x:c>
    </x:row>
    <x:row r="4">
      <x:c r="A4" t="str">
        <x:v>Base implícita (R$ mil)</x:v>
      </x:c>
      <x:c r="B4" t="n">
        <x:f>B2/B3</x:f>
        <x:v>4407250.666666667</x:v>
      </x:c>
      <x:c r="C4" t="str">
        <x:v>Provisão / 75%; NÃO indica cálculo regulatório completo</x:v>
      </x:c>
    </x:row>
    <x:row r="5">
      <x:c r="A5" t="str">
        <x:v>Cenário 70%</x:v>
      </x:c>
      <x:c r="B5" s="12" t="n">
        <x:v>0.7</x:v>
      </x:c>
      <x:c r="C5" t="str">
        <x:v>Variação hipotética da alíquota de compartilhamento</x:v>
      </x:c>
    </x:row>
    <x:row r="6">
      <x:c r="A6" t="str">
        <x:v>Provisão 70% (R$ mil)</x:v>
      </x:c>
      <x:c r="B6" t="n">
        <x:f>B4*B5</x:f>
        <x:v>3085075.466666667</x:v>
      </x:c>
      <x:c r="C6" t="str">
        <x:v>SIMULAÇÃO</x:v>
      </x:c>
    </x:row>
    <x:row r="7">
      <x:c r="A7" t="str">
        <x:v>Diferença 70% (R$ mil)</x:v>
      </x:c>
      <x:c r="B7" t="n">
        <x:f>B6-B2</x:f>
        <x:v>-220362.5333333332</x:v>
      </x:c>
      <x:c r="C7" t="str">
        <x:v>SIMULAÇÃO</x:v>
      </x:c>
    </x:row>
    <x:row r="8">
      <x:c r="A8" t="str">
        <x:v>Cenário 80%</x:v>
      </x:c>
      <x:c r="B8" s="12" t="n">
        <x:v>0.8</x:v>
      </x:c>
      <x:c r="C8" t="str">
        <x:v>Variação hipotética</x:v>
      </x:c>
    </x:row>
    <x:row r="9">
      <x:c r="A9" t="str">
        <x:v>Provisão 80% (R$ mil)</x:v>
      </x:c>
      <x:c r="B9" t="n">
        <x:f>B4*B8</x:f>
        <x:v>3525800.5333333337</x:v>
      </x:c>
      <x:c r="C9" t="str">
        <x:v>SIMULAÇÃO</x:v>
      </x:c>
    </x:row>
    <x:row r="10">
      <x:c r="A10" t="str">
        <x:v>Diferença 80% (R$ mil)</x:v>
      </x:c>
      <x:c r="B10" t="n">
        <x:f>B9-B2</x:f>
        <x:v>220362.53333333367</x:v>
      </x:c>
      <x:c r="C10" t="str">
        <x:v>SIMULAÇÃO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4" hidden="0" customWidth="1"/>
    <x:col min="3" max="3" width="24" hidden="0" customWidth="1"/>
    <x:col min="4" max="4" width="84" hidden="0" customWidth="1"/>
  </x:cols>
  <x:sheetData>
    <x:row r="1" ht="30" customHeight="1">
      <x:c r="A1" s="5" t="str">
        <x:v>Indicador</x:v>
      </x:c>
      <x:c r="B1" s="5" t="str">
        <x:v>2025</x:v>
      </x:c>
      <x:c r="C1" s="5" t="str">
        <x:v>2024</x:v>
      </x:c>
      <x:c r="D1" s="5" t="str">
        <x:v>Fonte / definição</x:v>
      </x:c>
    </x:row>
    <x:row r="2">
      <x:c r="A2" t="str">
        <x:v>Liquidez corrente</x:v>
      </x:c>
      <x:c r="B2" t="n">
        <x:f>7222564/6024748</x:f>
        <x:v>1.198815950476269</x:v>
      </x:c>
      <x:c r="C2" t="n">
        <x:f>3296187/1850428</x:f>
        <x:v>1.7813105940895837</x:v>
      </x:c>
      <x:c r="D2" t="str">
        <x:v>Ativo circulante / passivo circulante</x:v>
      </x:c>
    </x:row>
    <x:row r="3">
      <x:c r="A3" t="str">
        <x:v>Endividamento geral</x:v>
      </x:c>
      <x:c r="B3" s="12" t="n">
        <x:f>14118143/26465924</x:f>
        <x:v>0.5334460644563175</x:v>
      </x:c>
      <x:c r="C3" s="12" t="n">
        <x:f>9679293/20508000</x:f>
        <x:v>0.4719764482153306</x:v>
      </x:c>
      <x:c r="D3" t="str">
        <x:v>Passivo total / ativo total</x:v>
      </x:c>
    </x:row>
    <x:row r="4">
      <x:c r="A4" t="str">
        <x:v>Participação intangível</x:v>
      </x:c>
      <x:c r="B4" s="12" t="n">
        <x:f>12602327/26465924</x:f>
        <x:v>0.47617181247856677</x:v>
      </x:c>
      <x:c r="C4" s="12" t="n">
        <x:f>11589509/20508000</x:f>
        <x:v>0.5651213672713088</x:v>
      </x:c>
      <x:c r="D4" t="str">
        <x:v>Intangível / ativo total</x:v>
      </x:c>
    </x:row>
    <x:row r="5">
      <x:c r="A5" t="str">
        <x:v>Margem bruta</x:v>
      </x:c>
      <x:c r="B5" s="12" t="n">
        <x:f>4054944/7205727</x:f>
        <x:v>0.5627390546436188</x:v>
      </x:c>
      <x:c r="C5" s="12" t="n">
        <x:f>3957833/6848219</x:f>
        <x:v>0.5779361028027871</x:v>
      </x:c>
      <x:c r="D5" t="str">
        <x:v>Lucro bruto / receita líquida</x:v>
      </x:c>
    </x:row>
    <x:row r="6">
      <x:c r="A6" t="str">
        <x:v>Margem líquida</x:v>
      </x:c>
      <x:c r="B6" s="12" t="n">
        <x:f>2079568/7205727</x:f>
        <x:v>0.2885993321700919</x:v>
      </x:c>
      <x:c r="C6" s="12" t="n">
        <x:f>1545347/6848219</x:f>
        <x:v>0.2256567729507482</x:v>
      </x:c>
      <x:c r="D6" t="str">
        <x:v>Lucro líquido / receita líquida</x:v>
      </x:c>
    </x:row>
    <x:row r="7">
      <x:c r="A7" t="str">
        <x:v>Dívida CP + LP</x:v>
      </x:c>
      <x:c r="B7" t="n">
        <x:f>997329+6395335</x:f>
        <x:v>7392664</x:v>
      </x:c>
      <x:c r="C7" t="n">
        <x:f>584638+6046697</x:f>
        <x:v>6631335</x:v>
      </x:c>
      <x:c r="D7" t="str">
        <x:v>Dívida bancária/arrendamento + PPP conforme BP p.68</x:v>
      </x:c>
    </x:row>
    <x:row r="8">
      <x:c r="A8" t="str">
        <x:v>Dívida bruta / PL</x:v>
      </x:c>
      <x:c r="B8" s="12" t="n">
        <x:f>B7/12347781</x:f>
        <x:v>0.5987038480841214</x:v>
      </x:c>
      <x:c r="C8" s="12" t="n">
        <x:f>C7/10828707</x:f>
        <x:v>0.612384747320248</x:v>
      </x:c>
      <x:c r="D8" t="str">
        <x:v>Dívida CP+LP / patrimônio líquido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97" hidden="0" customWidth="1"/>
    <x:col min="4" max="4" width="18" hidden="0" customWidth="1"/>
    <x:col min="5" max="5" width="62" hidden="0" customWidth="1"/>
    <x:col min="6" max="6" width="18" hidden="0" customWidth="1"/>
  </x:cols>
  <x:sheetData>
    <x:row r="1" ht="30" customHeight="1">
      <x:c r="A1" s="5" t="str">
        <x:v>Ref</x:v>
      </x:c>
      <x:c r="B1" s="5" t="str">
        <x:v>Tipo</x:v>
      </x:c>
      <x:c r="C1" s="5" t="str">
        <x:v>URL</x:v>
      </x:c>
      <x:c r="D1" s="5" t="str">
        <x:v>Período</x:v>
      </x:c>
      <x:c r="E1" s="5" t="str">
        <x:v>Páginas</x:v>
      </x:c>
      <x:c r="F1" s="5" t="str">
        <x:v>Acesso</x:v>
      </x:c>
    </x:row>
    <x:row r="2">
      <x:c r="A2" t="str">
        <x:v>F01</x:v>
      </x:c>
      <x:c r="B2" t="str">
        <x:v>DFP oficial SANEPAR</x:v>
      </x:c>
      <x:c r="C2" t="str">
        <x:v>https://ri.sanepar.com.br/docs/DFP-Sanepar-2025-12-31-BjdwmKcn.pdf</x:v>
      </x:c>
      <x:c r="D2" t="str">
        <x:v>2025 e 2024</x:v>
      </x:c>
      <x:c r="E2" t="str">
        <x:v>BP 67-68; DRE 69; intangível Nota 13b p94; auditor 137-142</x:v>
      </x:c>
      <x:c r="F2" t="str">
        <x:v>25/10/2026</x:v>
      </x:c>
    </x:row>
    <x:row r="3">
      <x:c r="A3" t="str">
        <x:v>F02</x:v>
      </x:c>
      <x:c r="B3" t="str">
        <x:v>Relatório 2025</x:v>
      </x:c>
      <x:c r="C3" t="str">
        <x:v>https://financialfilings.com/filings/cia-de-saneamento-do-parana-sanepar/annual-report/2026/60082879/</x:v>
      </x:c>
      <x:c r="D3" t="str">
        <x:v>2025</x:v>
      </x:c>
      <x:c r="E3" t="str">
        <x:v>Relatório 2025, páginas indicadas</x:v>
      </x:c>
      <x:c r="F3" t="str">
        <x:v>25/10/2026</x:v>
      </x:c>
    </x:row>
    <x:row r="4">
      <x:c r="A4" t="str">
        <x:v>F03</x:v>
      </x:c>
      <x:c r="B4" t="str">
        <x:v>CFC normas NBC TA</x:v>
      </x:c>
      <x:c r="C4" t="str">
        <x:v>https://cfc.org.br/tecnica/normas-brasileiras-de-contabilidade/nbc-ta-de-auditoria-independente/</x:v>
      </x:c>
      <x:c r="D4" t="str">
        <x:v>2025</x:v>
      </x:c>
      <x:c r="E4" t="str">
        <x:v>Normas aplicáveis ao exercício</x:v>
      </x:c>
      <x:c r="F4" t="str">
        <x:v>25/10/2026</x:v>
      </x:c>
    </x:row>
    <x:row r="5">
      <x:c r="A5" t="str">
        <x:v>F04</x:v>
      </x:c>
      <x:c r="B5" t="str">
        <x:v>CVM DFP 2025</x:v>
      </x:c>
      <x:c r="C5" t="str">
        <x:v>https://www.rad.cvm.gov.br/ENET/frmGerenciaPaginaFRE.aspx?CodigoTipoInstituicao=1&amp;NumeroSequencialDocumento=154938</x:v>
      </x:c>
      <x:c r="D5" t="str">
        <x:v>2025</x:v>
      </x:c>
      <x:c r="E5" t="str">
        <x:v>Protocolo CVM 2026</x:v>
      </x:c>
      <x:c r="F5" t="str">
        <x:v>25/10/2026</x:v>
      </x:c>
    </x:row>
    <x:row r="6">
      <x:c r="A6" t="str">
        <x:v>F05</x:v>
      </x:c>
      <x:c r="B6" t="str">
        <x:v>CFC alteração 240/570</x:v>
      </x:c>
      <x:c r="C6" t="str">
        <x:v>https://cfc.org.br/noticias/cfc-atualiza-normas-de-auditoria-sobre-fraudes-e-continuidade-operacional/</x:v>
      </x:c>
      <x:c r="D6" t="str">
        <x:v>2027</x:v>
      </x:c>
      <x:c r="E6" t="str">
        <x:v>Alterações só períodos desde 2027</x:v>
      </x:c>
      <x:c r="F6" t="str">
        <x:v>25/10/2026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100" hidden="0" customWidth="1"/>
  </x:cols>
  <x:sheetData>
    <x:row r="1" ht="30" customHeight="1">
      <x:c r="A1" s="5" t="str">
        <x:v>SANEPAR 2025 | Auditoria I</x:v>
      </x:c>
      <x:c r="B1" s="5" t="str">
        <x:v>Conteúdo</x:v>
      </x:c>
    </x:row>
    <x:row r="2">
      <x:c r="A2" t="str">
        <x:v>Autor</x:v>
      </x:c>
      <x:c r="B2" t="str">
        <x:v>Enzo Wetler Dória | 231019863</x:v>
      </x:c>
    </x:row>
    <x:row r="3">
      <x:c r="A3" t="str">
        <x:v>Data da pesquisa</x:v>
      </x:c>
      <x:c r="B3" t="str">
        <x:v>25/10/2026</x:v>
      </x:c>
    </x:row>
    <x:row r="4">
      <x:c r="A4" t="str">
        <x:v>Unidade tabelas financeiras</x:v>
      </x:c>
      <x:c r="B4" t="str">
        <x:v>R$ mil exceto testes explícitos em R$</x:v>
      </x:c>
    </x:row>
    <x:row r="5">
      <x:c r="A5" t="str">
        <x:v>Categorias de evidência</x:v>
      </x:c>
      <x:c r="B5" t="str">
        <x:v>EP: pública; PL: planejado; SIM: dados totalmente artificiais</x:v>
      </x:c>
    </x:row>
    <x:row r="6">
      <x:c r="A6" t="str">
        <x:v>Limitações</x:v>
      </x:c>
      <x:c r="B6" t="str">
        <x:v>Não houve acesso a sistema, inspeção física, contato ou circularização real</x:v>
      </x:c>
    </x:row>
    <x:row r="7">
      <x:c r="A7" t="str">
        <x:v>Abas</x:v>
      </x:c>
      <x:c r="B7" t="str">
        <x:v>BP/DRE, materialidade, riscos, NBC TA, analíticos, conciliação, testes, sensibilidade, indicadores, fontes</x:v>
      </x:c>
    </x:row>
    <x:row r="8">
      <x:c r="A8" t="str">
        <x:v>Normas</x:v>
      </x:c>
      <x:c r="B8" t="str">
        <x:v>NBC TA 240 R2 e 570 R1 de 2026 só têm aplicação a períodos iniciados em 2027</x:v>
      </x:c>
    </x:row>
    <x:row r="9">
      <x:c r="A9" t="str">
        <x:v>Revisão</x:v>
      </x:c>
      <x:c r="B9" t="str">
        <x:v>Revisor acadêmico/terceiro NÃO realizou revisão.</x:v>
      </x:c>
    </x:row>
  </x:sheetData>
  <x:pageMargins left="0.7" right="0.7" top="0.75" bottom="0.75" header="0.3" footer="0.3"/>
</x:worksheet>
</file>